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BILIDAD" sheetId="1" state="visible" r:id="rId3"/>
    <sheet name="PREC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<sst xmlns="http://schemas.openxmlformats.org/spreadsheetml/2006/main" count="590" uniqueCount="204">
  <si>
    <t xml:space="preserve">Fecha</t>
  </si>
  <si>
    <t xml:space="preserve">Numero de Telefono</t>
  </si>
  <si>
    <t xml:space="preserve">Producto</t>
  </si>
  <si>
    <t xml:space="preserve">Nombre</t>
  </si>
  <si>
    <t xml:space="preserve">Precio Original</t>
  </si>
  <si>
    <t xml:space="preserve">Precio Final</t>
  </si>
  <si>
    <t xml:space="preserve">Comision Lideres Locales</t>
  </si>
  <si>
    <t xml:space="preserve">FLORÉ</t>
  </si>
  <si>
    <t xml:space="preserve">Código</t>
  </si>
  <si>
    <t xml:space="preserve">Precio con Comisiones (Precio Final)</t>
  </si>
  <si>
    <t xml:space="preserve">Comisión</t>
  </si>
  <si>
    <t xml:space="preserve">Dueña </t>
  </si>
  <si>
    <t xml:space="preserve">Personalizado</t>
  </si>
  <si>
    <t xml:space="preserve">Para Ti con Cariño</t>
  </si>
  <si>
    <t xml:space="preserve">Rosa Eterna Mini</t>
  </si>
  <si>
    <t xml:space="preserve">Te Quiero Solar</t>
  </si>
  <si>
    <t xml:space="preserve">Girasol Poético</t>
  </si>
  <si>
    <t xml:space="preserve">Poema Amarillo</t>
  </si>
  <si>
    <t xml:space="preserve">Frescura Amarilla</t>
  </si>
  <si>
    <t xml:space="preserve">Mini Bouquet 3 Tulipanes Eternos</t>
  </si>
  <si>
    <t xml:space="preserve">Sol Amarillo</t>
  </si>
  <si>
    <t xml:space="preserve">Dulce Sorpresa Solar</t>
  </si>
  <si>
    <t xml:space="preserve">Elegancia Soleada</t>
  </si>
  <si>
    <t xml:space="preserve">Ramillete del Sol</t>
  </si>
  <si>
    <t xml:space="preserve">Rosas Eternas Doradas</t>
  </si>
  <si>
    <t xml:space="preserve">Arreglo Fúnebre Sencillo</t>
  </si>
  <si>
    <t xml:space="preserve">Giras en Mi Mente</t>
  </si>
  <si>
    <t xml:space="preserve">Trío Nocturno</t>
  </si>
  <si>
    <t xml:space="preserve">Corazón Floral con Nutella</t>
  </si>
  <si>
    <t xml:space="preserve">Dulce Serenidad</t>
  </si>
  <si>
    <t xml:space="preserve">Tres Veces Te Amo</t>
  </si>
  <si>
    <t xml:space="preserve">Brillo Natural</t>
  </si>
  <si>
    <t xml:space="preserve">Bouquet Rústico Solar</t>
  </si>
  <si>
    <t xml:space="preserve">Girasol Poético con Ferrero</t>
  </si>
  <si>
    <t xml:space="preserve">Girasol con Globo Especial</t>
  </si>
  <si>
    <t xml:space="preserve">Te Quiero Rosado</t>
  </si>
  <si>
    <t xml:space="preserve">Te Amo Rosado</t>
  </si>
  <si>
    <t xml:space="preserve">Lirios con Clavel Rosado</t>
  </si>
  <si>
    <t xml:space="preserve">Mini Bouquet Lirios con Globo Cumpleaños</t>
  </si>
  <si>
    <t xml:space="preserve">Detalle Natural</t>
  </si>
  <si>
    <t xml:space="preserve">Rosas Eternas Bouquet</t>
  </si>
  <si>
    <t xml:space="preserve">Bouquet Lirios y Clavel Surtido</t>
  </si>
  <si>
    <t xml:space="preserve">Cuatro Soles con Margarita</t>
  </si>
  <si>
    <t xml:space="preserve">Elegancia Oscura</t>
  </si>
  <si>
    <t xml:space="preserve">Cuarteto con Ferrero</t>
  </si>
  <si>
    <t xml:space="preserve">Elegancia en Negro</t>
  </si>
  <si>
    <t xml:space="preserve">Bouquet 2 Varas de Lirio Surtido Rosa</t>
  </si>
  <si>
    <t xml:space="preserve">Bouquet Graduación Lirios y Gerberas</t>
  </si>
  <si>
    <t xml:space="preserve">Lirio con Rosas Rosadas y Fucsia</t>
  </si>
  <si>
    <t xml:space="preserve">Encanto Sencillo</t>
  </si>
  <si>
    <t xml:space="preserve">Trío Ferrero Solar</t>
  </si>
  <si>
    <t xml:space="preserve">Cubre Caja Amarillo</t>
  </si>
  <si>
    <t xml:space="preserve">Sorpresa con Globo</t>
  </si>
  <si>
    <t xml:space="preserve">Bouquet 3 Varas de Lirios y Rosas</t>
  </si>
  <si>
    <t xml:space="preserve">Clouds in Love</t>
  </si>
  <si>
    <t xml:space="preserve">Elegancia en Cartuchos</t>
  </si>
  <si>
    <t xml:space="preserve">Dulzura Rosada</t>
  </si>
  <si>
    <t xml:space="preserve">Reina de Pompones</t>
  </si>
  <si>
    <t xml:space="preserve">Corazón de Pompones</t>
  </si>
  <si>
    <t xml:space="preserve">Arreglo Fúnebre Surtido</t>
  </si>
  <si>
    <t xml:space="preserve">Bouquet 9 Tulipanes Eternos Amor</t>
  </si>
  <si>
    <t xml:space="preserve">Pureza Solar</t>
  </si>
  <si>
    <t xml:space="preserve">Belleza Floral</t>
  </si>
  <si>
    <t xml:space="preserve">Bouquet 9 Tulipanes Eternos Blancos</t>
  </si>
  <si>
    <t xml:space="preserve">Ternura Rosada</t>
  </si>
  <si>
    <t xml:space="preserve">Coral y Nieve</t>
  </si>
  <si>
    <t xml:space="preserve">Mi Niña Bella</t>
  </si>
  <si>
    <t xml:space="preserve">Rosas y Ferrero Dorado</t>
  </si>
  <si>
    <t xml:space="preserve">Cubre Caja Blanco</t>
  </si>
  <si>
    <t xml:space="preserve">Tulipanes con Rosas Rojas</t>
  </si>
  <si>
    <t xml:space="preserve">Lirios con Clavel, Gerberas y Follaje</t>
  </si>
  <si>
    <t xml:space="preserve">Vestido Campestre</t>
  </si>
  <si>
    <t xml:space="preserve">Princesa Rosada</t>
  </si>
  <si>
    <t xml:space="preserve">Jardín de Primavera</t>
  </si>
  <si>
    <t xml:space="preserve">Alegría Campestre</t>
  </si>
  <si>
    <t xml:space="preserve">Dulzura Floral</t>
  </si>
  <si>
    <t xml:space="preserve">Blancura Celestial</t>
  </si>
  <si>
    <t xml:space="preserve">Siete Soles con Ferrero</t>
  </si>
  <si>
    <t xml:space="preserve">Perfección en Rosa y Lirios</t>
  </si>
  <si>
    <t xml:space="preserve">Arreglo Fúnebre Rojo y Blanco</t>
  </si>
  <si>
    <t xml:space="preserve">Terroncito de Amor</t>
  </si>
  <si>
    <t xml:space="preserve">Pasión con Perlas</t>
  </si>
  <si>
    <t xml:space="preserve">Siete Soles</t>
  </si>
  <si>
    <t xml:space="preserve">Mi Corazón Derretido</t>
  </si>
  <si>
    <t xml:space="preserve">Un Amor tan Dulce</t>
  </si>
  <si>
    <t xml:space="preserve">Expresión de Amor</t>
  </si>
  <si>
    <t xml:space="preserve">Brisa Lavanda</t>
  </si>
  <si>
    <t xml:space="preserve">Amanecer Dorado</t>
  </si>
  <si>
    <t xml:space="preserve">Sol y Pasión</t>
  </si>
  <si>
    <t xml:space="preserve">Pureza Natural</t>
  </si>
  <si>
    <t xml:space="preserve">Romance Bicolor</t>
  </si>
  <si>
    <t xml:space="preserve">Serenidad Blanca</t>
  </si>
  <si>
    <t xml:space="preserve">Bouquet Lirios, Gerberas y Ferrero</t>
  </si>
  <si>
    <t xml:space="preserve">Explosión de Color</t>
  </si>
  <si>
    <t xml:space="preserve">Mi Amor Bonito</t>
  </si>
  <si>
    <t xml:space="preserve">Pétalos de Amor</t>
  </si>
  <si>
    <t xml:space="preserve">Canasta Dulce Rosa</t>
  </si>
  <si>
    <t xml:space="preserve">Jardín del Sol</t>
  </si>
  <si>
    <t xml:space="preserve">Nube de Rosas</t>
  </si>
  <si>
    <t xml:space="preserve">Soleado con Dulzura</t>
  </si>
  <si>
    <t xml:space="preserve">Te Amaré Para Siempre</t>
  </si>
  <si>
    <t xml:space="preserve">Re Enamorado de Ti</t>
  </si>
  <si>
    <t xml:space="preserve">Cubre Caja en Forma de Cruz</t>
  </si>
  <si>
    <t xml:space="preserve">Bouquet Tulipanes y Gerberas Rosadas</t>
  </si>
  <si>
    <t xml:space="preserve">Lirios y Girasoles con Globo Cumpleaños</t>
  </si>
  <si>
    <t xml:space="preserve">Cálido Amor</t>
  </si>
  <si>
    <t xml:space="preserve">Mon Amour</t>
  </si>
  <si>
    <t xml:space="preserve">Caja Lirios y Rosas con Globo Aniversario</t>
  </si>
  <si>
    <t xml:space="preserve">Jardín de Ensueño</t>
  </si>
  <si>
    <t xml:space="preserve">Un Amour Élégant</t>
  </si>
  <si>
    <t xml:space="preserve">Corazón Solar Hermoso</t>
  </si>
  <si>
    <t xml:space="preserve">Bouquet Tulipanes, Lirios y Gerberas</t>
  </si>
  <si>
    <t xml:space="preserve">Fusión Silvestre</t>
  </si>
  <si>
    <t xml:space="preserve">Romance Coreano</t>
  </si>
  <si>
    <t xml:space="preserve">Cumpleaños Radiante</t>
  </si>
  <si>
    <t xml:space="preserve">Gracia Nupcial</t>
  </si>
  <si>
    <t xml:space="preserve">Caja Noir de Girasoles</t>
  </si>
  <si>
    <t xml:space="preserve">Nube de Amor</t>
  </si>
  <si>
    <t xml:space="preserve">Unidos por Siempre</t>
  </si>
  <si>
    <t xml:space="preserve">Un Cumpleaños Inolvidable</t>
  </si>
  <si>
    <t xml:space="preserve">Brillante a la Vista del Sol</t>
  </si>
  <si>
    <t xml:space="preserve">Caja Elegancia Negra</t>
  </si>
  <si>
    <t xml:space="preserve">Queen of My Heart</t>
  </si>
  <si>
    <t xml:space="preserve">Corona Fúnebre de Rosas Rojas</t>
  </si>
  <si>
    <t xml:space="preserve">Esplendor Dorado</t>
  </si>
  <si>
    <t xml:space="preserve">Rosa Perfecta Escalera</t>
  </si>
  <si>
    <t xml:space="preserve">Rosas y Lirios en Jarrón</t>
  </si>
  <si>
    <t xml:space="preserve">Arreglo Amalia</t>
  </si>
  <si>
    <t xml:space="preserve">Corazón Eterno Aniversario</t>
  </si>
  <si>
    <t xml:space="preserve">Enamoradito de Ti</t>
  </si>
  <si>
    <t xml:space="preserve">Bouquet 16 Tulipanes Eternos Multicolor</t>
  </si>
  <si>
    <t xml:space="preserve">Bouquet 5 Tulipanes Naturales Amarillos</t>
  </si>
  <si>
    <t xml:space="preserve">Corazón de Gerberas</t>
  </si>
  <si>
    <t xml:space="preserve">Rosas y Sol</t>
  </si>
  <si>
    <t xml:space="preserve">Celebración Dorada</t>
  </si>
  <si>
    <t xml:space="preserve">Canasta Preciosa</t>
  </si>
  <si>
    <t xml:space="preserve">Canasta Perfección Roja</t>
  </si>
  <si>
    <t xml:space="preserve">Tierno Amor Campestre</t>
  </si>
  <si>
    <t xml:space="preserve">Mi Brillito de Sol</t>
  </si>
  <si>
    <t xml:space="preserve">Docena Dorada Premium</t>
  </si>
  <si>
    <t xml:space="preserve">Galaxia de Girasoles</t>
  </si>
  <si>
    <t xml:space="preserve">Dulce Amor</t>
  </si>
  <si>
    <t xml:space="preserve">Cute You</t>
  </si>
  <si>
    <t xml:space="preserve">Cubre Caja 20 Rosas Blancas</t>
  </si>
  <si>
    <t xml:space="preserve">Tulipanes Naturales con Clavel Rosado</t>
  </si>
  <si>
    <t xml:space="preserve">Bouquet Lirios y Rosas con Peluche Stitch Graduado</t>
  </si>
  <si>
    <t xml:space="preserve">Tierno Amor</t>
  </si>
  <si>
    <t xml:space="preserve">Cascada Imperial</t>
  </si>
  <si>
    <t xml:space="preserve">Corona Fúnebre sin Trípode</t>
  </si>
  <si>
    <t xml:space="preserve">Amor a la Vista</t>
  </si>
  <si>
    <t xml:space="preserve">Elegancia con Tulipanes</t>
  </si>
  <si>
    <t xml:space="preserve">Fiesta Floral</t>
  </si>
  <si>
    <t xml:space="preserve">Canasta Primaveral</t>
  </si>
  <si>
    <t xml:space="preserve">Festival Floral con Ferrero</t>
  </si>
  <si>
    <t xml:space="preserve">Mariposas Doradas</t>
  </si>
  <si>
    <t xml:space="preserve">Arreglo Fúnebre 40 Rosas</t>
  </si>
  <si>
    <t xml:space="preserve">Tulipanes con Rosas y Hortensia</t>
  </si>
  <si>
    <t xml:space="preserve">Canasta Arcoíris</t>
  </si>
  <si>
    <t xml:space="preserve">Tierno Amor Bicolor</t>
  </si>
  <si>
    <t xml:space="preserve">I Will Always Be There for You</t>
  </si>
  <si>
    <t xml:space="preserve">Trípode Fúnebre Surtido Blanco</t>
  </si>
  <si>
    <t xml:space="preserve">Color de Amor</t>
  </si>
  <si>
    <t xml:space="preserve">Love Explosion</t>
  </si>
  <si>
    <t xml:space="preserve">Cariñito</t>
  </si>
  <si>
    <t xml:space="preserve">Cubre Caja 50 Rosas Blancas</t>
  </si>
  <si>
    <t xml:space="preserve">Cruz Fúnebre con Rosas Rojas</t>
  </si>
  <si>
    <t xml:space="preserve">Bouquet 24 Rosas y 5 Lirios con Listón</t>
  </si>
  <si>
    <t xml:space="preserve">Eterno Recuerdo</t>
  </si>
  <si>
    <t xml:space="preserve">Corona Corazón Rojo y Blanco</t>
  </si>
  <si>
    <t xml:space="preserve">Corazón Multicolor</t>
  </si>
  <si>
    <t xml:space="preserve">Bouquet 10 Tulipanes Naturales Lila y Blanco</t>
  </si>
  <si>
    <t xml:space="preserve">Esplendor en Base</t>
  </si>
  <si>
    <t xml:space="preserve">Jardín Floral</t>
  </si>
  <si>
    <t xml:space="preserve">Trípode Fúnebre</t>
  </si>
  <si>
    <t xml:space="preserve">Corona Fúnebre con Trípode</t>
  </si>
  <si>
    <t xml:space="preserve">Torre de Pasión</t>
  </si>
  <si>
    <t xml:space="preserve">Corona Fúnebre Clásica</t>
  </si>
  <si>
    <t xml:space="preserve">Gran Bouquet de Lirios y Flores Surtidas</t>
  </si>
  <si>
    <t xml:space="preserve">Gran Bouquet 10 Lirios y Clavel Rosado</t>
  </si>
  <si>
    <t xml:space="preserve">Reina de las Rosas</t>
  </si>
  <si>
    <t xml:space="preserve">Gran Bouquet Lirios Premium con Peluche Snoopy</t>
  </si>
  <si>
    <t xml:space="preserve">Corazón de Rosas</t>
  </si>
  <si>
    <t xml:space="preserve">Corazón de Sol</t>
  </si>
  <si>
    <t xml:space="preserve">Celebración Completa</t>
  </si>
  <si>
    <t xml:space="preserve">Para la Más Bonita</t>
  </si>
  <si>
    <t xml:space="preserve">Corona Fúnebre Rosada</t>
  </si>
  <si>
    <t xml:space="preserve">Para Siempre en Mi Corazón</t>
  </si>
  <si>
    <t xml:space="preserve">Romántico Amor</t>
  </si>
  <si>
    <t xml:space="preserve">Corona Fúnebre Te Amaré para Siempre</t>
  </si>
  <si>
    <t xml:space="preserve">Gran Bouquet 8 Lirios y 40 Rosas con Listón</t>
  </si>
  <si>
    <t xml:space="preserve">For You the Best Love</t>
  </si>
  <si>
    <t xml:space="preserve">Sinfonía Multicolor</t>
  </si>
  <si>
    <t xml:space="preserve">Siempre Estarás en Mi Corazón</t>
  </si>
  <si>
    <t xml:space="preserve">Luz de Paz</t>
  </si>
  <si>
    <t xml:space="preserve">Mujer Elegante</t>
  </si>
  <si>
    <t xml:space="preserve">Majestuosidad de Girasoles</t>
  </si>
  <si>
    <t xml:space="preserve">Mujer Bonita</t>
  </si>
  <si>
    <t xml:space="preserve">Fúnebre Elegante</t>
  </si>
  <si>
    <t xml:space="preserve">Corona Fúnebre Premium</t>
  </si>
  <si>
    <t xml:space="preserve">Amor de Mi Vida</t>
  </si>
  <si>
    <t xml:space="preserve">Majestuosidad Solar</t>
  </si>
  <si>
    <t xml:space="preserve">Gran Bouquet Tulipanes y Flores Premium</t>
  </si>
  <si>
    <t xml:space="preserve">Dulce Amor con Peluche</t>
  </si>
  <si>
    <t xml:space="preserve">Besos Hechos en Flor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</si>
</sst>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\$#,##0"/>
  </numFmts>
  <fonts count="8">
    <font>
      <sz val="10"/>
      <color rgb="FF00000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Verdana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Verdana"/>
      <family val="0"/>
      <charset val="1"/>
    </font>
    <font>
      <sz val="11"/>
      <color rgb="FF000000"/>
      <name val="&quot;Aptos Narrow&quo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F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 pitchFamily="0" charset="1"/>
        <a:ea typeface="Verdana" pitchFamily="0" charset="1"/>
        <a:cs typeface="Verdana" pitchFamily="0" charset="1"/>
      </a:majorFont>
      <a:minorFont>
        <a:latin typeface="Verdana" pitchFamily="0" charset="1"/>
        <a:ea typeface="Verdana" pitchFamily="0" charset="1"/>
        <a:cs typeface="Verdan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I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.75" customHeight="true" zeroHeight="false" outlineLevelRow="0" outlineLevelCol="0"/>
  <cols>
    <col collapsed="false" customWidth="true" hidden="false" outlineLevel="0" max="2" min="2" style="1" width="14.33"/>
    <col collapsed="false" customWidth="true" hidden="false" outlineLevel="0" max="4" min="4" style="1" width="18.44"/>
    <col collapsed="false" customWidth="true" hidden="false" outlineLevel="0" max="5" min="5" style="1" width="13.89"/>
    <col collapsed="false" customWidth="true" hidden="false" outlineLevel="0" max="6" min="6" style="1" width="14.11"/>
    <col collapsed="false" customWidth="true" hidden="false" outlineLevel="0" max="7" min="7" style="1" width="15.11"/>
    <col collapsed="false" customWidth="true" hidden="false" outlineLevel="0" max="8" min="8" style="1" width="16.1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customFormat="false" ht="15.75" hidden="false" customHeight="true" outlineLevel="0" collapsed="false">
      <c r="A2" s="4"/>
      <c r="B2" s="5"/>
      <c r="C2" s="5"/>
      <c r="D2" s="5" t="str">
        <f aca="false">IF(C2="","",VLOOKUP(C2,PRECIOS!A:B,2,FALSE()))</f>
        <v/>
      </c>
      <c r="E2" s="6" t="str">
        <f aca="false">IF(C2="","",VLOOKUP(C2,PRECIOS!A:C,3,FALSE()))</f>
        <v/>
      </c>
      <c r="F2" s="6" t="str">
        <f aca="false">IF(C2="","",VLOOKUP(C2,PRECIOS!A:D,4,FALSE()))</f>
        <v/>
      </c>
      <c r="G2" s="7" t="str">
        <f aca="false">IF(C2="","",F2*0.2)</f>
        <v/>
      </c>
      <c r="H2" s="6" t="str">
        <f aca="false">IF(C2="","",F2*0.8)</f>
        <v/>
      </c>
    </row>
    <row r="3" customFormat="false" ht="15.75" hidden="false" customHeight="true" outlineLevel="0" collapsed="false">
      <c r="A3" s="4"/>
      <c r="B3" s="5"/>
      <c r="C3" s="5"/>
      <c r="D3" s="5" t="str">
        <f aca="false">IF(C3="","",VLOOKUP(C3,PRECIOS!A:B,2,FALSE()))</f>
        <v/>
      </c>
      <c r="E3" s="6" t="str">
        <f aca="false">IF(C3="","",VLOOKUP(C3,PRECIOS!A:C,3,FALSE()))</f>
        <v/>
      </c>
      <c r="F3" s="6" t="str">
        <f aca="false">IF(C3="","",VLOOKUP(C3,PRECIOS!A:D,4,FALSE()))</f>
        <v/>
      </c>
      <c r="G3" s="7" t="str">
        <f aca="false">IF(C3="","",F3*0.2)</f>
        <v/>
      </c>
      <c r="H3" s="6" t="str">
        <f aca="false">IF(C3="","",F3*0.8)</f>
        <v/>
      </c>
    </row>
    <row r="4" customFormat="false" ht="15.75" hidden="false" customHeight="true" outlineLevel="0" collapsed="false">
      <c r="A4" s="4"/>
      <c r="B4" s="5"/>
      <c r="C4" s="5"/>
      <c r="D4" s="5" t="str">
        <f aca="false">IF(C4="","",VLOOKUP(C4,PRECIOS!A:B,2,FALSE()))</f>
        <v/>
      </c>
      <c r="E4" s="5" t="str">
        <f aca="false">IF(C4="","",VLOOKUP(C4,PRECIOS!A:C,3,FALSE()))</f>
        <v/>
      </c>
      <c r="F4" s="6" t="str">
        <f aca="false">IF(C4="","",VLOOKUP(C4,PRECIOS!A:D,4,FALSE()))</f>
        <v/>
      </c>
      <c r="G4" s="7" t="str">
        <f aca="false">IF(C4="","",F4*0.2)</f>
        <v/>
      </c>
      <c r="H4" s="6" t="str">
        <f aca="false">IF(C4="","",F4*0.8)</f>
        <v/>
      </c>
    </row>
    <row r="5" customFormat="false" ht="15.75" hidden="false" customHeight="true" outlineLevel="0" collapsed="false">
      <c r="A5" s="4"/>
      <c r="B5" s="5"/>
      <c r="C5" s="5"/>
      <c r="D5" s="5" t="str">
        <f aca="false">IF(C5="","",VLOOKUP(C5,PRECIOS!A:B,2,FALSE()))</f>
        <v/>
      </c>
      <c r="E5" s="5" t="str">
        <f aca="false">IF(C5="","",VLOOKUP(C5,PRECIOS!A:C,3,FALSE()))</f>
        <v/>
      </c>
      <c r="F5" s="6" t="str">
        <f aca="false">IF(C5="","",VLOOKUP(C5,PRECIOS!A:D,4,FALSE()))</f>
        <v/>
      </c>
      <c r="G5" s="7" t="str">
        <f aca="false">IF(C5="","",F5*0.2)</f>
        <v/>
      </c>
      <c r="H5" s="6" t="str">
        <f aca="false">IF(C5="","",F5*0.8)</f>
        <v/>
      </c>
    </row>
    <row r="6" customFormat="false" ht="15.75" hidden="false" customHeight="true" outlineLevel="0" collapsed="false">
      <c r="A6" s="5"/>
      <c r="B6" s="5"/>
      <c r="C6" s="5"/>
      <c r="D6" s="5" t="str">
        <f aca="false">IF(C6="","",VLOOKUP(C6,PRECIOS!A:B,2,FALSE()))</f>
        <v/>
      </c>
      <c r="E6" s="5" t="str">
        <f aca="false">IF(C6="","",VLOOKUP(C6,PRECIOS!A:C,3,FALSE()))</f>
        <v/>
      </c>
      <c r="F6" s="5" t="str">
        <f aca="false">IF(C6="","",VLOOKUP(C6,PRECIOS!A:D,4,FALSE()))</f>
        <v/>
      </c>
      <c r="G6" s="5" t="str">
        <f aca="false">IF(C6="","",F6*0.2)</f>
        <v/>
      </c>
      <c r="H6" s="5" t="str">
        <f aca="false">IF(C6="","",F6*0.8)</f>
        <v/>
      </c>
      <c r="I6" s="8"/>
    </row>
    <row r="7" customFormat="false" ht="15.75" hidden="false" customHeight="true" outlineLevel="0" collapsed="false">
      <c r="A7" s="9"/>
      <c r="D7" s="1" t="str">
        <f aca="false">IF(C7="","",VLOOKUP(C7,PRECIOS!A:B,2,FALSE()))</f>
        <v/>
      </c>
      <c r="E7" s="1" t="str">
        <f aca="false">IF(C7="","",VLOOKUP(C7,PRECIOS!A:C,3,FALSE()))</f>
        <v/>
      </c>
      <c r="F7" s="1" t="str">
        <f aca="false">IF(C7="","",VLOOKUP(C7,PRECIOS!A:D,4,FALSE()))</f>
        <v/>
      </c>
      <c r="G7" s="1" t="str">
        <f aca="false">IF(C7="","",F7*0.2)</f>
        <v/>
      </c>
      <c r="H7" s="1" t="str">
        <f aca="false">IF(C7="","",F7*0.8)</f>
        <v/>
      </c>
    </row>
    <row r="8" customFormat="false" ht="15.75" hidden="false" customHeight="true" outlineLevel="0" collapsed="false">
      <c r="A8" s="5"/>
      <c r="B8" s="5"/>
      <c r="C8" s="5"/>
      <c r="D8" s="5" t="str">
        <f aca="false">IF(C8="","",VLOOKUP(C8,PRECIOS!A:B,2,FALSE()))</f>
        <v/>
      </c>
      <c r="E8" s="5" t="str">
        <f aca="false">IF(C8="","",VLOOKUP(C8,PRECIOS!A:C,3,FALSE()))</f>
        <v/>
      </c>
      <c r="F8" s="5" t="str">
        <f aca="false">IF(C8="","",VLOOKUP(C8,PRECIOS!A:D,4,FALSE()))</f>
        <v/>
      </c>
      <c r="G8" s="5" t="str">
        <f aca="false">IF(C8="","",F8*0.2)</f>
        <v/>
      </c>
      <c r="H8" s="5" t="str">
        <f aca="false">IF(C8="","",F8*0.8)</f>
        <v/>
      </c>
    </row>
    <row r="9" customFormat="false" ht="15.75" hidden="false" customHeight="true" outlineLevel="0" collapsed="false">
      <c r="A9" s="5"/>
      <c r="B9" s="5"/>
      <c r="C9" s="5"/>
      <c r="D9" s="5" t="str">
        <f aca="false">IF(C9="","",VLOOKUP(C9,PRECIOS!A:B,2,FALSE()))</f>
        <v/>
      </c>
      <c r="E9" s="5" t="str">
        <f aca="false">IF(C9="","",VLOOKUP(C9,PRECIOS!A:C,3,FALSE()))</f>
        <v/>
      </c>
      <c r="F9" s="5" t="str">
        <f aca="false">IF(C9="","",VLOOKUP(C9,PRECIOS!A:D,4,FALSE()))</f>
        <v/>
      </c>
      <c r="G9" s="5" t="str">
        <f aca="false">IF(C9="","",F9*0.2)</f>
        <v/>
      </c>
      <c r="H9" s="5" t="str">
        <f aca="false">IF(C9="","",F9*0.8)</f>
        <v/>
      </c>
    </row>
    <row r="10" customFormat="false" ht="15.75" hidden="false" customHeight="true" outlineLevel="0" collapsed="false">
      <c r="A10" s="5"/>
      <c r="B10" s="5"/>
      <c r="C10" s="5"/>
      <c r="D10" s="5" t="str">
        <f aca="false">IF(C10="","",VLOOKUP(C10,PRECIOS!A:B,2,FALSE()))</f>
        <v/>
      </c>
      <c r="E10" s="5" t="str">
        <f aca="false">IF(C10="","",VLOOKUP(C10,PRECIOS!A:C,3,FALSE()))</f>
        <v/>
      </c>
      <c r="F10" s="5" t="str">
        <f aca="false">IF(C10="","",VLOOKUP(C10,PRECIOS!A:D,4,FALSE()))</f>
        <v/>
      </c>
      <c r="G10" s="5" t="str">
        <f aca="false">IF(C10="","",F10*0.2)</f>
        <v/>
      </c>
      <c r="H10" s="5" t="str">
        <f aca="false">IF(C10="","",F10*0.8)</f>
        <v/>
      </c>
    </row>
    <row r="11" customFormat="false" ht="15.75" hidden="false" customHeight="true" outlineLevel="0" collapsed="false">
      <c r="A11" s="5"/>
      <c r="B11" s="5"/>
      <c r="C11" s="5"/>
      <c r="D11" s="5" t="str">
        <f aca="false">IF(C11="","",VLOOKUP(C11,PRECIOS!A:B,2,FALSE()))</f>
        <v/>
      </c>
      <c r="E11" s="5" t="str">
        <f aca="false">IF(C11="","",VLOOKUP(C11,PRECIOS!A:C,3,FALSE()))</f>
        <v/>
      </c>
      <c r="F11" s="5" t="str">
        <f aca="false">IF(C11="","",VLOOKUP(C11,PRECIOS!A:D,4,FALSE()))</f>
        <v/>
      </c>
      <c r="G11" s="5" t="str">
        <f aca="false">IF(C11="","",F11*0.2)</f>
        <v/>
      </c>
      <c r="H11" s="5" t="str">
        <f aca="false">IF(C11="","",F11*0.8)</f>
        <v/>
      </c>
    </row>
    <row r="12" customFormat="false" ht="15.75" hidden="false" customHeight="true" outlineLevel="0" collapsed="false">
      <c r="A12" s="9"/>
      <c r="D12" s="1" t="str">
        <f aca="false">IF(C12="","",VLOOKUP(C12,PRECIOS!A:B,2,FALSE()))</f>
        <v/>
      </c>
      <c r="E12" s="1" t="str">
        <f aca="false">IF(C12="","",VLOOKUP(C12,PRECIOS!A:C,3,FALSE()))</f>
        <v/>
      </c>
      <c r="F12" s="1" t="str">
        <f aca="false">IF(C12="","",VLOOKUP(C12,PRECIOS!A:D,4,FALSE()))</f>
        <v/>
      </c>
      <c r="G12" s="1" t="str">
        <f aca="false">IF(C12="","",F12*0.2)</f>
        <v/>
      </c>
      <c r="H12" s="1" t="str">
        <f aca="false">IF(C12="","",F12*0.8)</f>
        <v/>
      </c>
    </row>
    <row r="13" customFormat="false" ht="15.75" hidden="false" customHeight="true" outlineLevel="0" collapsed="false">
      <c r="A13" s="5"/>
      <c r="B13" s="5"/>
      <c r="C13" s="5"/>
      <c r="D13" s="5" t="str">
        <f aca="false">IF(C13="","",VLOOKUP(C13,PRECIOS!A:B,2,FALSE()))</f>
        <v/>
      </c>
      <c r="E13" s="5" t="str">
        <f aca="false">IF(C13="","",VLOOKUP(C13,PRECIOS!A:C,3,FALSE()))</f>
        <v/>
      </c>
      <c r="F13" s="5" t="str">
        <f aca="false">IF(C13="","",VLOOKUP(C13,PRECIOS!A:D,4,FALSE()))</f>
        <v/>
      </c>
      <c r="G13" s="5" t="str">
        <f aca="false">IF(C13="","",F13*0.2)</f>
        <v/>
      </c>
      <c r="H13" s="5" t="str">
        <f aca="false">IF(C13="","",F13*0.8)</f>
        <v/>
      </c>
    </row>
    <row r="14" customFormat="false" ht="15.75" hidden="false" customHeight="true" outlineLevel="0" collapsed="false">
      <c r="A14" s="5"/>
      <c r="B14" s="5"/>
      <c r="C14" s="5"/>
      <c r="D14" s="5" t="str">
        <f aca="false">IF(C14="","",VLOOKUP(C14,PRECIOS!A:B,2,FALSE()))</f>
        <v/>
      </c>
      <c r="E14" s="5" t="str">
        <f aca="false">IF(C14="","",VLOOKUP(C14,PRECIOS!A:C,3,FALSE()))</f>
        <v/>
      </c>
      <c r="F14" s="5" t="str">
        <f aca="false">IF(C14="","",VLOOKUP(C14,PRECIOS!A:D,4,FALSE()))</f>
        <v/>
      </c>
      <c r="G14" s="5" t="str">
        <f aca="false">IF(C14="","",F14*0.2)</f>
        <v/>
      </c>
      <c r="H14" s="5" t="str">
        <f aca="false">IF(C14="","",F14*0.8)</f>
        <v/>
      </c>
    </row>
    <row r="15" customFormat="false" ht="15.75" hidden="false" customHeight="true" outlineLevel="0" collapsed="false">
      <c r="A15" s="5"/>
      <c r="B15" s="5"/>
      <c r="C15" s="5"/>
      <c r="D15" s="5" t="str">
        <f aca="false">IF(C15="","",VLOOKUP(C15,PRECIOS!A:B,2,FALSE()))</f>
        <v/>
      </c>
      <c r="E15" s="5" t="str">
        <f aca="false">IF(C15="","",VLOOKUP(C15,PRECIOS!A:C,3,FALSE()))</f>
        <v/>
      </c>
      <c r="F15" s="5" t="str">
        <f aca="false">IF(C15="","",VLOOKUP(C15,PRECIOS!A:D,4,FALSE()))</f>
        <v/>
      </c>
      <c r="G15" s="5" t="str">
        <f aca="false">IF(C15="","",F15*0.2)</f>
        <v/>
      </c>
      <c r="H15" s="5" t="str">
        <f aca="false">IF(C15="","",F15*0.8)</f>
        <v/>
      </c>
    </row>
    <row r="16" customFormat="false" ht="15.75" hidden="false" customHeight="true" outlineLevel="0" collapsed="false">
      <c r="A16" s="5"/>
      <c r="B16" s="5"/>
      <c r="C16" s="5"/>
      <c r="D16" s="5" t="str">
        <f aca="false">IF(C16="","",VLOOKUP(C16,PRECIOS!A:B,2,FALSE()))</f>
        <v/>
      </c>
      <c r="E16" s="5" t="str">
        <f aca="false">IF(C16="","",VLOOKUP(C16,PRECIOS!A:C,3,FALSE()))</f>
        <v/>
      </c>
      <c r="F16" s="5" t="str">
        <f aca="false">IF(C16="","",VLOOKUP(C16,PRECIOS!A:D,4,FALSE()))</f>
        <v/>
      </c>
      <c r="G16" s="5" t="str">
        <f aca="false">IF(C16="","",F16*0.2)</f>
        <v/>
      </c>
      <c r="H16" s="5" t="str">
        <f aca="false">IF(C16="","",F16*0.8)</f>
        <v/>
      </c>
    </row>
    <row r="17" customFormat="false" ht="15.75" hidden="false" customHeight="true" outlineLevel="0" collapsed="false">
      <c r="A17" s="5"/>
      <c r="B17" s="5"/>
      <c r="C17" s="5"/>
      <c r="D17" s="5" t="str">
        <f aca="false">IF(C17="","",VLOOKUP(C17,PRECIOS!A:B,2,FALSE()))</f>
        <v/>
      </c>
      <c r="E17" s="5" t="str">
        <f aca="false">IF(C17="","",VLOOKUP(C17,PRECIOS!A:C,3,FALSE()))</f>
        <v/>
      </c>
      <c r="F17" s="5" t="str">
        <f aca="false">IF(C17="","",VLOOKUP(C17,PRECIOS!A:D,4,FALSE()))</f>
        <v/>
      </c>
      <c r="G17" s="5" t="str">
        <f aca="false">IF(C17="","",F17*0.2)</f>
        <v/>
      </c>
      <c r="H17" s="5" t="str">
        <f aca="false">IF(C17="","",F17*0.8)</f>
        <v/>
      </c>
    </row>
    <row r="18" customFormat="false" ht="15.75" hidden="false" customHeight="true" outlineLevel="0" collapsed="false">
      <c r="A18" s="5"/>
      <c r="B18" s="5"/>
      <c r="C18" s="5"/>
      <c r="D18" s="5" t="str">
        <f aca="false">IF(C18="","",VLOOKUP(C18,PRECIOS!A:B,2,FALSE()))</f>
        <v/>
      </c>
      <c r="E18" s="5" t="str">
        <f aca="false">IF(C18="","",VLOOKUP(C18,PRECIOS!A:C,3,FALSE()))</f>
        <v/>
      </c>
      <c r="F18" s="5" t="str">
        <f aca="false">IF(C18="","",VLOOKUP(C18,PRECIOS!A:D,4,FALSE()))</f>
        <v/>
      </c>
      <c r="G18" s="5" t="str">
        <f aca="false">IF(C18="","",F18*0.2)</f>
        <v/>
      </c>
      <c r="H18" s="5" t="str">
        <f aca="false">IF(C18="","",F18*0.8)</f>
        <v/>
      </c>
    </row>
    <row r="19" customFormat="false" ht="15.75" hidden="false" customHeight="true" outlineLevel="0" collapsed="false">
      <c r="A19" s="5"/>
      <c r="B19" s="5"/>
      <c r="C19" s="5"/>
      <c r="D19" s="5" t="str">
        <f aca="false">IF(C19="","",VLOOKUP(C19,PRECIOS!A:B,2,FALSE()))</f>
        <v/>
      </c>
      <c r="E19" s="5" t="str">
        <f aca="false">IF(C19="","",VLOOKUP(C19,PRECIOS!A:C,3,FALSE()))</f>
        <v/>
      </c>
      <c r="F19" s="5" t="str">
        <f aca="false">IF(C19="","",VLOOKUP(C19,PRECIOS!A:D,4,FALSE()))</f>
        <v/>
      </c>
      <c r="G19" s="5" t="str">
        <f aca="false">IF(C19="","",F19*0.2)</f>
        <v/>
      </c>
      <c r="H19" s="5" t="str">
        <f aca="false">IF(C19="","",F19*0.8)</f>
        <v/>
      </c>
    </row>
    <row r="20" customFormat="false" ht="15.75" hidden="false" customHeight="true" outlineLevel="0" collapsed="false">
      <c r="A20" s="5"/>
      <c r="B20" s="5"/>
      <c r="C20" s="5"/>
      <c r="D20" s="5" t="str">
        <f aca="false">IF(C20="","",VLOOKUP(C20,PRECIOS!A:B,2,FALSE()))</f>
        <v/>
      </c>
      <c r="E20" s="5" t="str">
        <f aca="false">IF(C20="","",VLOOKUP(C20,PRECIOS!A:C,3,FALSE()))</f>
        <v/>
      </c>
      <c r="F20" s="5" t="str">
        <f aca="false">IF(C20="","",VLOOKUP(C20,PRECIOS!A:D,4,FALSE()))</f>
        <v/>
      </c>
      <c r="G20" s="5" t="str">
        <f aca="false">IF(C20="","",F20*0.2)</f>
        <v/>
      </c>
      <c r="H20" s="5" t="str">
        <f aca="false">IF(C20="","",F20*0.8)</f>
        <v/>
      </c>
    </row>
    <row r="21" customFormat="false" ht="15.75" hidden="false" customHeight="true" outlineLevel="0" collapsed="false">
      <c r="A21" s="5"/>
      <c r="B21" s="5"/>
      <c r="C21" s="5"/>
      <c r="D21" s="5" t="str">
        <f aca="false">IF(C21="","",VLOOKUP(C21,PRECIOS!A:B,2,FALSE()))</f>
        <v/>
      </c>
      <c r="E21" s="5" t="str">
        <f aca="false">IF(C21="","",VLOOKUP(C21,PRECIOS!A:C,3,FALSE()))</f>
        <v/>
      </c>
      <c r="F21" s="5" t="str">
        <f aca="false">IF(C21="","",VLOOKUP(C21,PRECIOS!A:D,4,FALSE()))</f>
        <v/>
      </c>
      <c r="G21" s="5" t="str">
        <f aca="false">IF(C21="","",F21*0.2)</f>
        <v/>
      </c>
      <c r="H21" s="5" t="str">
        <f aca="false">IF(C21="","",F21*0.8)</f>
        <v/>
      </c>
    </row>
    <row r="22" customFormat="false" ht="15.75" hidden="false" customHeight="true" outlineLevel="0" collapsed="false">
      <c r="A22" s="5"/>
      <c r="B22" s="5"/>
      <c r="C22" s="5"/>
      <c r="D22" s="5" t="str">
        <f aca="false">IF(C22="","",VLOOKUP(C22,PRECIOS!A:B,2,FALSE()))</f>
        <v/>
      </c>
      <c r="E22" s="5" t="str">
        <f aca="false">IF(C22="","",VLOOKUP(C22,PRECIOS!A:C,3,FALSE()))</f>
        <v/>
      </c>
      <c r="F22" s="5" t="str">
        <f aca="false">IF(C22="","",VLOOKUP(C22,PRECIOS!A:D,4,FALSE()))</f>
        <v/>
      </c>
      <c r="G22" s="5" t="str">
        <f aca="false">IF(C22="","",F22*0.2)</f>
        <v/>
      </c>
      <c r="H22" s="5" t="str">
        <f aca="false">IF(C22="","",F22*0.8)</f>
        <v/>
      </c>
    </row>
    <row r="23" customFormat="false" ht="15.75" hidden="false" customHeight="true" outlineLevel="0" collapsed="false">
      <c r="A23" s="5"/>
      <c r="B23" s="5"/>
      <c r="C23" s="5"/>
      <c r="D23" s="5" t="str">
        <f aca="false">IF(C23="","",VLOOKUP(C23,PRECIOS!A:B,2,FALSE()))</f>
        <v/>
      </c>
      <c r="E23" s="5" t="str">
        <f aca="false">IF(C23="","",VLOOKUP(C23,PRECIOS!A:C,3,FALSE()))</f>
        <v/>
      </c>
      <c r="F23" s="5" t="str">
        <f aca="false">IF(C23="","",VLOOKUP(C23,PRECIOS!A:D,4,FALSE()))</f>
        <v/>
      </c>
      <c r="G23" s="5" t="str">
        <f aca="false">IF(C23="","",F23*0.2)</f>
        <v/>
      </c>
      <c r="H23" s="5" t="str">
        <f aca="false">IF(C23="","",F23*0.8)</f>
        <v/>
      </c>
    </row>
    <row r="24" customFormat="false" ht="15.75" hidden="false" customHeight="true" outlineLevel="0" collapsed="false">
      <c r="A24" s="5"/>
      <c r="B24" s="5"/>
      <c r="C24" s="5"/>
      <c r="D24" s="5" t="str">
        <f aca="false">IF(C24="","",VLOOKUP(C24,PRECIOS!A:B,2,FALSE()))</f>
        <v/>
      </c>
      <c r="E24" s="5" t="str">
        <f aca="false">IF(C24="","",VLOOKUP(C24,PRECIOS!A:C,3,FALSE()))</f>
        <v/>
      </c>
      <c r="F24" s="5" t="str">
        <f aca="false">IF(C24="","",VLOOKUP(C24,PRECIOS!A:D,4,FALSE()))</f>
        <v/>
      </c>
      <c r="G24" s="5" t="str">
        <f aca="false">IF(C24="","",F24*0.2)</f>
        <v/>
      </c>
      <c r="H24" s="5" t="str">
        <f aca="false">IF(C24="","",F24*0.8)</f>
        <v/>
      </c>
    </row>
    <row r="25" customFormat="false" ht="15.75" hidden="false" customHeight="true" outlineLevel="0" collapsed="false">
      <c r="A25" s="5"/>
      <c r="B25" s="5"/>
      <c r="C25" s="5"/>
      <c r="D25" s="5" t="str">
        <f aca="false">IF(C25="","",VLOOKUP(C25,PRECIOS!A:B,2,FALSE()))</f>
        <v/>
      </c>
      <c r="E25" s="5" t="str">
        <f aca="false">IF(C25="","",VLOOKUP(C25,PRECIOS!A:C,3,FALSE()))</f>
        <v/>
      </c>
      <c r="F25" s="5" t="str">
        <f aca="false">IF(C25="","",VLOOKUP(C25,PRECIOS!A:D,4,FALSE()))</f>
        <v/>
      </c>
      <c r="G25" s="5" t="str">
        <f aca="false">IF(C25="","",F25*0.2)</f>
        <v/>
      </c>
      <c r="H25" s="5" t="str">
        <f aca="false">IF(C25="","",F25*0.8)</f>
        <v/>
      </c>
    </row>
    <row r="26" customFormat="false" ht="15.75" hidden="false" customHeight="true" outlineLevel="0" collapsed="false">
      <c r="A26" s="5"/>
      <c r="B26" s="5"/>
      <c r="C26" s="5"/>
      <c r="D26" s="5" t="str">
        <f aca="false">IF(C26="","",VLOOKUP(C26,PRECIOS!A:B,2,FALSE()))</f>
        <v/>
      </c>
      <c r="E26" s="5" t="str">
        <f aca="false">IF(C26="","",VLOOKUP(C26,PRECIOS!A:C,3,FALSE()))</f>
        <v/>
      </c>
      <c r="F26" s="5" t="str">
        <f aca="false">IF(C26="","",VLOOKUP(C26,PRECIOS!A:D,4,FALSE()))</f>
        <v/>
      </c>
      <c r="G26" s="5" t="str">
        <f aca="false">IF(C26="","",F26*0.2)</f>
        <v/>
      </c>
      <c r="H26" s="5" t="str">
        <f aca="false">IF(C26="","",F26*0.8)</f>
        <v/>
      </c>
    </row>
    <row r="27" customFormat="false" ht="15.75" hidden="false" customHeight="true" outlineLevel="0" collapsed="false">
      <c r="A27" s="5"/>
      <c r="B27" s="5"/>
      <c r="C27" s="5"/>
      <c r="D27" s="5" t="str">
        <f aca="false">IF(C27="","",VLOOKUP(C27,PRECIOS!A:B,2,FALSE()))</f>
        <v/>
      </c>
      <c r="E27" s="5" t="str">
        <f aca="false">IF(C27="","",VLOOKUP(C27,PRECIOS!A:C,3,FALSE()))</f>
        <v/>
      </c>
      <c r="F27" s="5" t="str">
        <f aca="false">IF(C27="","",VLOOKUP(C27,PRECIOS!A:D,4,FALSE()))</f>
        <v/>
      </c>
      <c r="G27" s="5" t="str">
        <f aca="false">IF(C27="","",F27*0.2)</f>
        <v/>
      </c>
      <c r="H27" s="5" t="str">
        <f aca="false">IF(C27="","",F27*0.8)</f>
        <v/>
      </c>
    </row>
    <row r="28" customFormat="false" ht="15.75" hidden="false" customHeight="true" outlineLevel="0" collapsed="false">
      <c r="A28" s="5"/>
      <c r="B28" s="5"/>
      <c r="C28" s="5"/>
      <c r="D28" s="5" t="str">
        <f aca="false">IF(C28="","",VLOOKUP(C28,PRECIOS!A:B,2,FALSE()))</f>
        <v/>
      </c>
      <c r="E28" s="5" t="str">
        <f aca="false">IF(C28="","",VLOOKUP(C28,PRECIOS!A:C,3,FALSE()))</f>
        <v/>
      </c>
      <c r="F28" s="5" t="str">
        <f aca="false">IF(C28="","",VLOOKUP(C28,PRECIOS!A:D,4,FALSE()))</f>
        <v/>
      </c>
      <c r="G28" s="5" t="str">
        <f aca="false">IF(C28="","",F28*0.2)</f>
        <v/>
      </c>
      <c r="H28" s="5" t="str">
        <f aca="false">IF(C28="","",F28*0.8)</f>
        <v/>
      </c>
    </row>
    <row r="29" customFormat="false" ht="15.75" hidden="false" customHeight="true" outlineLevel="0" collapsed="false">
      <c r="A29" s="5"/>
      <c r="B29" s="5"/>
      <c r="C29" s="5"/>
      <c r="D29" s="5" t="str">
        <f aca="false">IF(C29="","",VLOOKUP(C29,PRECIOS!A:B,2,FALSE()))</f>
        <v/>
      </c>
      <c r="E29" s="5" t="str">
        <f aca="false">IF(C29="","",VLOOKUP(C29,PRECIOS!A:C,3,FALSE()))</f>
        <v/>
      </c>
      <c r="F29" s="5" t="str">
        <f aca="false">IF(C29="","",VLOOKUP(C29,PRECIOS!A:D,4,FALSE()))</f>
        <v/>
      </c>
      <c r="G29" s="5" t="str">
        <f aca="false">IF(C29="","",F29*0.2)</f>
        <v/>
      </c>
      <c r="H29" s="5" t="str">
        <f aca="false">IF(C29="","",F29*0.8)</f>
        <v/>
      </c>
    </row>
    <row r="30" customFormat="false" ht="15.75" hidden="false" customHeight="true" outlineLevel="0" collapsed="false">
      <c r="A30" s="5"/>
      <c r="B30" s="5"/>
      <c r="C30" s="5"/>
      <c r="D30" s="5" t="str">
        <f aca="false">IF(C30="","",VLOOKUP(C30,PRECIOS!A:B,2,FALSE()))</f>
        <v/>
      </c>
      <c r="E30" s="5" t="str">
        <f aca="false">IF(C30="","",VLOOKUP(C30,PRECIOS!A:C,3,FALSE()))</f>
        <v/>
      </c>
      <c r="F30" s="5" t="str">
        <f aca="false">IF(C30="","",VLOOKUP(C30,PRECIOS!A:D,4,FALSE()))</f>
        <v/>
      </c>
      <c r="G30" s="5" t="str">
        <f aca="false">IF(C30="","",F30*0.2)</f>
        <v/>
      </c>
      <c r="H30" s="5" t="str">
        <f aca="false">IF(C30="","",F30*0.8)</f>
        <v/>
      </c>
    </row>
    <row r="31" customFormat="false" ht="15.75" hidden="false" customHeight="true" outlineLevel="0" collapsed="false">
      <c r="A31" s="5"/>
      <c r="B31" s="5"/>
      <c r="C31" s="5"/>
      <c r="D31" s="5" t="str">
        <f aca="false">IF(C31="","",VLOOKUP(C31,PRECIOS!A:B,2,FALSE()))</f>
        <v/>
      </c>
      <c r="E31" s="5" t="str">
        <f aca="false">IF(C31="","",VLOOKUP(C31,PRECIOS!A:C,3,FALSE()))</f>
        <v/>
      </c>
      <c r="F31" s="5" t="str">
        <f aca="false">IF(C31="","",VLOOKUP(C31,PRECIOS!A:D,4,FALSE()))</f>
        <v/>
      </c>
      <c r="G31" s="5" t="str">
        <f aca="false">IF(C31="","",F31*0.2)</f>
        <v/>
      </c>
      <c r="H31" s="5" t="str">
        <f aca="false">IF(C31="","",F31*0.8)</f>
        <v/>
      </c>
    </row>
    <row r="32" customFormat="false" ht="15.75" hidden="false" customHeight="true" outlineLevel="0" collapsed="false">
      <c r="A32" s="5"/>
      <c r="B32" s="5"/>
      <c r="C32" s="5"/>
      <c r="D32" s="5" t="str">
        <f aca="false">IF(C32="","",VLOOKUP(C32,PRECIOS!A:B,2,FALSE()))</f>
        <v/>
      </c>
      <c r="E32" s="5" t="str">
        <f aca="false">IF(C32="","",VLOOKUP(C32,PRECIOS!A:C,3,FALSE()))</f>
        <v/>
      </c>
      <c r="F32" s="5" t="str">
        <f aca="false">IF(C32="","",VLOOKUP(C32,PRECIOS!A:D,4,FALSE()))</f>
        <v/>
      </c>
      <c r="G32" s="5" t="str">
        <f aca="false">IF(C32="","",F32*0.2)</f>
        <v/>
      </c>
      <c r="H32" s="5" t="str">
        <f aca="false">IF(C32="","",F32*0.8)</f>
        <v/>
      </c>
    </row>
    <row r="33" customFormat="false" ht="15.75" hidden="false" customHeight="true" outlineLevel="0" collapsed="false">
      <c r="A33" s="5"/>
      <c r="B33" s="5"/>
      <c r="C33" s="5"/>
      <c r="D33" s="5" t="str">
        <f aca="false">IF(C33="","",VLOOKUP(C33,PRECIOS!A:B,2,FALSE()))</f>
        <v/>
      </c>
      <c r="E33" s="5" t="str">
        <f aca="false">IF(C33="","",VLOOKUP(C33,PRECIOS!A:C,3,FALSE()))</f>
        <v/>
      </c>
      <c r="F33" s="5" t="str">
        <f aca="false">IF(C33="","",VLOOKUP(C33,PRECIOS!A:D,4,FALSE()))</f>
        <v/>
      </c>
      <c r="G33" s="5" t="str">
        <f aca="false">IF(C33="","",F33*0.2)</f>
        <v/>
      </c>
      <c r="H33" s="5" t="str">
        <f aca="false">IF(C33="","",F33*0.8)</f>
        <v/>
      </c>
    </row>
    <row r="34" customFormat="false" ht="15.75" hidden="false" customHeight="true" outlineLevel="0" collapsed="false">
      <c r="A34" s="5"/>
      <c r="B34" s="5"/>
      <c r="C34" s="5"/>
      <c r="D34" s="5" t="str">
        <f aca="false">IF(C34="","",VLOOKUP(C34,PRECIOS!A:B,2,FALSE()))</f>
        <v/>
      </c>
      <c r="E34" s="5" t="str">
        <f aca="false">IF(C34="","",VLOOKUP(C34,PRECIOS!A:C,3,FALSE()))</f>
        <v/>
      </c>
      <c r="F34" s="5" t="str">
        <f aca="false">IF(C34="","",VLOOKUP(C34,PRECIOS!A:D,4,FALSE()))</f>
        <v/>
      </c>
      <c r="G34" s="5" t="str">
        <f aca="false">IF(C34="","",F34*0.2)</f>
        <v/>
      </c>
      <c r="H34" s="5" t="str">
        <f aca="false">IF(C34="","",F34*0.8)</f>
        <v/>
      </c>
    </row>
    <row r="35" customFormat="false" ht="15.75" hidden="false" customHeight="true" outlineLevel="0" collapsed="false">
      <c r="A35" s="5"/>
      <c r="B35" s="5"/>
      <c r="C35" s="5"/>
      <c r="D35" s="5" t="str">
        <f aca="false">IF(C35="","",VLOOKUP(C35,PRECIOS!A:B,2,FALSE()))</f>
        <v/>
      </c>
      <c r="E35" s="5" t="str">
        <f aca="false">IF(C35="","",VLOOKUP(C35,PRECIOS!A:C,3,FALSE()))</f>
        <v/>
      </c>
      <c r="F35" s="5" t="str">
        <f aca="false">IF(C35="","",VLOOKUP(C35,PRECIOS!A:D,4,FALSE()))</f>
        <v/>
      </c>
      <c r="G35" s="5" t="str">
        <f aca="false">IF(C35="","",F35*0.2)</f>
        <v/>
      </c>
      <c r="H35" s="5" t="str">
        <f aca="false">IF(C35="","",F35*0.8)</f>
        <v/>
      </c>
    </row>
    <row r="36" customFormat="false" ht="15.75" hidden="false" customHeight="true" outlineLevel="0" collapsed="false">
      <c r="A36" s="5"/>
      <c r="B36" s="5"/>
      <c r="C36" s="5"/>
      <c r="D36" s="5" t="str">
        <f aca="false">IF(C36="","",VLOOKUP(C36,PRECIOS!A:B,2,FALSE()))</f>
        <v/>
      </c>
      <c r="E36" s="5" t="str">
        <f aca="false">IF(C36="","",VLOOKUP(C36,PRECIOS!A:C,3,FALSE()))</f>
        <v/>
      </c>
      <c r="F36" s="5" t="str">
        <f aca="false">IF(C36="","",VLOOKUP(C36,PRECIOS!A:D,4,FALSE()))</f>
        <v/>
      </c>
      <c r="G36" s="5" t="str">
        <f aca="false">IF(C36="","",F36*0.2)</f>
        <v/>
      </c>
      <c r="H36" s="5" t="str">
        <f aca="false">IF(C36="","",F36*0.8)</f>
        <v/>
      </c>
    </row>
    <row r="37" customFormat="false" ht="15.75" hidden="false" customHeight="true" outlineLevel="0" collapsed="false">
      <c r="A37" s="5"/>
      <c r="B37" s="5"/>
      <c r="C37" s="5"/>
      <c r="D37" s="5" t="str">
        <f aca="false">IF(C37="","",VLOOKUP(C37,PRECIOS!A:B,2,FALSE()))</f>
        <v/>
      </c>
      <c r="E37" s="5" t="str">
        <f aca="false">IF(C37="","",VLOOKUP(C37,PRECIOS!A:C,3,FALSE()))</f>
        <v/>
      </c>
      <c r="F37" s="5" t="str">
        <f aca="false">IF(C37="","",VLOOKUP(C37,PRECIOS!A:D,4,FALSE()))</f>
        <v/>
      </c>
      <c r="G37" s="5" t="str">
        <f aca="false">IF(C37="","",F37*0.2)</f>
        <v/>
      </c>
      <c r="H37" s="5" t="str">
        <f aca="false">IF(C37="","",F37*0.8)</f>
        <v/>
      </c>
    </row>
    <row r="38" customFormat="false" ht="15.75" hidden="false" customHeight="true" outlineLevel="0" collapsed="false">
      <c r="A38" s="5"/>
      <c r="B38" s="5"/>
      <c r="C38" s="5"/>
      <c r="D38" s="5" t="str">
        <f aca="false">IF(C38="","",VLOOKUP(C38,PRECIOS!A:B,2,FALSE()))</f>
        <v/>
      </c>
      <c r="E38" s="5" t="str">
        <f aca="false">IF(C38="","",VLOOKUP(C38,PRECIOS!A:C,3,FALSE()))</f>
        <v/>
      </c>
      <c r="F38" s="5" t="str">
        <f aca="false">IF(C38="","",VLOOKUP(C38,PRECIOS!A:D,4,FALSE()))</f>
        <v/>
      </c>
      <c r="G38" s="5" t="str">
        <f aca="false">IF(C38="","",F38*0.2)</f>
        <v/>
      </c>
      <c r="H38" s="5" t="str">
        <f aca="false">IF(C38="","",F38*0.8)</f>
        <v/>
      </c>
    </row>
    <row r="39" customFormat="false" ht="15.75" hidden="false" customHeight="true" outlineLevel="0" collapsed="false">
      <c r="A39" s="5"/>
      <c r="B39" s="5"/>
      <c r="C39" s="5"/>
      <c r="D39" s="5" t="str">
        <f aca="false">IF(C39="","",VLOOKUP(C39,PRECIOS!A:B,2,FALSE()))</f>
        <v/>
      </c>
      <c r="E39" s="5" t="str">
        <f aca="false">IF(C39="","",VLOOKUP(C39,PRECIOS!A:C,3,FALSE()))</f>
        <v/>
      </c>
      <c r="F39" s="5" t="str">
        <f aca="false">IF(C39="","",VLOOKUP(C39,PRECIOS!A:D,4,FALSE()))</f>
        <v/>
      </c>
      <c r="G39" s="5" t="str">
        <f aca="false">IF(C39="","",F39*0.2)</f>
        <v/>
      </c>
      <c r="H39" s="5" t="str">
        <f aca="false">IF(C39="","",F39*0.8)</f>
        <v/>
      </c>
    </row>
    <row r="40" customFormat="false" ht="15.75" hidden="false" customHeight="true" outlineLevel="0" collapsed="false">
      <c r="A40" s="5"/>
      <c r="B40" s="5"/>
      <c r="C40" s="5"/>
      <c r="D40" s="5" t="str">
        <f aca="false">IF(C40="","",VLOOKUP(C40,PRECIOS!A:B,2,FALSE()))</f>
        <v/>
      </c>
      <c r="E40" s="5" t="str">
        <f aca="false">IF(C40="","",VLOOKUP(C40,PRECIOS!A:C,3,FALSE()))</f>
        <v/>
      </c>
      <c r="F40" s="5" t="str">
        <f aca="false">IF(C40="","",VLOOKUP(C40,PRECIOS!A:D,4,FALSE()))</f>
        <v/>
      </c>
      <c r="G40" s="5" t="str">
        <f aca="false">IF(C40="","",F40*0.2)</f>
        <v/>
      </c>
      <c r="H40" s="5" t="str">
        <f aca="false">IF(C40="","",F40*0.8)</f>
        <v/>
      </c>
    </row>
    <row r="41" customFormat="false" ht="15.75" hidden="false" customHeight="true" outlineLevel="0" collapsed="false">
      <c r="A41" s="5"/>
      <c r="B41" s="5"/>
      <c r="C41" s="5"/>
      <c r="D41" s="5" t="str">
        <f aca="false">IF(C41="","",VLOOKUP(C41,PRECIOS!A:B,2,FALSE()))</f>
        <v/>
      </c>
      <c r="E41" s="5" t="str">
        <f aca="false">IF(C41="","",VLOOKUP(C41,PRECIOS!A:C,3,FALSE()))</f>
        <v/>
      </c>
      <c r="F41" s="5" t="str">
        <f aca="false">IF(C41="","",VLOOKUP(C41,PRECIOS!A:D,4,FALSE()))</f>
        <v/>
      </c>
      <c r="G41" s="5" t="str">
        <f aca="false">IF(C41="","",F41*0.2)</f>
        <v/>
      </c>
      <c r="H41" s="5" t="str">
        <f aca="false">IF(C41="","",F41*0.8)</f>
        <v/>
      </c>
    </row>
    <row r="42" customFormat="false" ht="15.75" hidden="false" customHeight="true" outlineLevel="0" collapsed="false">
      <c r="A42" s="5"/>
      <c r="B42" s="5"/>
      <c r="C42" s="5"/>
      <c r="D42" s="5" t="str">
        <f aca="false">IF(C42="","",VLOOKUP(C42,PRECIOS!A:B,2,FALSE()))</f>
        <v/>
      </c>
      <c r="E42" s="5" t="str">
        <f aca="false">IF(C42="","",VLOOKUP(C42,PRECIOS!A:C,3,FALSE()))</f>
        <v/>
      </c>
      <c r="F42" s="5" t="str">
        <f aca="false">IF(C42="","",VLOOKUP(C42,PRECIOS!A:D,4,FALSE()))</f>
        <v/>
      </c>
      <c r="G42" s="5" t="str">
        <f aca="false">IF(C42="","",F42*0.2)</f>
        <v/>
      </c>
      <c r="H42" s="5" t="str">
        <f aca="false">IF(C42="","",F42*0.8)</f>
        <v/>
      </c>
    </row>
    <row r="43" customFormat="false" ht="15.75" hidden="false" customHeight="true" outlineLevel="0" collapsed="false">
      <c r="A43" s="5"/>
      <c r="B43" s="5"/>
      <c r="C43" s="5"/>
      <c r="D43" s="5" t="str">
        <f aca="false">IF(C43="","",VLOOKUP(C43,PRECIOS!A:B,2,FALSE()))</f>
        <v/>
      </c>
      <c r="E43" s="5" t="str">
        <f aca="false">IF(C43="","",VLOOKUP(C43,PRECIOS!A:C,3,FALSE()))</f>
        <v/>
      </c>
      <c r="F43" s="5" t="str">
        <f aca="false">IF(C43="","",VLOOKUP(C43,PRECIOS!A:D,4,FALSE()))</f>
        <v/>
      </c>
      <c r="G43" s="5" t="str">
        <f aca="false">IF(C43="","",F43*0.2)</f>
        <v/>
      </c>
      <c r="H43" s="5" t="str">
        <f aca="false">IF(C43="","",F43*0.8)</f>
        <v/>
      </c>
    </row>
    <row r="44" customFormat="false" ht="15.75" hidden="false" customHeight="true" outlineLevel="0" collapsed="false">
      <c r="A44" s="5"/>
      <c r="B44" s="5"/>
      <c r="C44" s="5"/>
      <c r="D44" s="5" t="str">
        <f aca="false">IF(C44="","",VLOOKUP(C44,PRECIOS!A:B,2,FALSE()))</f>
        <v/>
      </c>
      <c r="E44" s="5" t="str">
        <f aca="false">IF(C44="","",VLOOKUP(C44,PRECIOS!A:C,3,FALSE()))</f>
        <v/>
      </c>
      <c r="F44" s="5" t="str">
        <f aca="false">IF(C44="","",VLOOKUP(C44,PRECIOS!A:D,4,FALSE()))</f>
        <v/>
      </c>
      <c r="G44" s="5" t="str">
        <f aca="false">IF(C44="","",F44*0.2)</f>
        <v/>
      </c>
      <c r="H44" s="5" t="str">
        <f aca="false">IF(C44="","",F44*0.8)</f>
        <v/>
      </c>
    </row>
    <row r="45" customFormat="false" ht="15.75" hidden="false" customHeight="true" outlineLevel="0" collapsed="false">
      <c r="A45" s="5"/>
      <c r="B45" s="5"/>
      <c r="C45" s="5"/>
      <c r="D45" s="5" t="str">
        <f aca="false">IF(C45="","",VLOOKUP(C45,PRECIOS!A:B,2,FALSE()))</f>
        <v/>
      </c>
      <c r="E45" s="5" t="str">
        <f aca="false">IF(C45="","",VLOOKUP(C45,PRECIOS!A:C,3,FALSE()))</f>
        <v/>
      </c>
      <c r="F45" s="5" t="str">
        <f aca="false">IF(C45="","",VLOOKUP(C45,PRECIOS!A:D,4,FALSE()))</f>
        <v/>
      </c>
      <c r="G45" s="5" t="str">
        <f aca="false">IF(C45="","",F45*0.2)</f>
        <v/>
      </c>
      <c r="H45" s="5" t="str">
        <f aca="false">IF(C45="","",F45*0.8)</f>
        <v/>
      </c>
    </row>
    <row r="46" customFormat="false" ht="15.75" hidden="false" customHeight="true" outlineLevel="0" collapsed="false">
      <c r="A46" s="5"/>
      <c r="B46" s="5"/>
      <c r="C46" s="5"/>
      <c r="D46" s="5" t="str">
        <f aca="false">IF(C46="","",VLOOKUP(C46,PRECIOS!A:B,2,FALSE()))</f>
        <v/>
      </c>
      <c r="E46" s="5" t="str">
        <f aca="false">IF(C46="","",VLOOKUP(C46,PRECIOS!A:C,3,FALSE()))</f>
        <v/>
      </c>
      <c r="F46" s="5" t="str">
        <f aca="false">IF(C46="","",VLOOKUP(C46,PRECIOS!A:D,4,FALSE()))</f>
        <v/>
      </c>
      <c r="G46" s="5" t="str">
        <f aca="false">IF(C46="","",F46*0.2)</f>
        <v/>
      </c>
      <c r="H46" s="5" t="str">
        <f aca="false">IF(C46="","",F46*0.8)</f>
        <v/>
      </c>
    </row>
    <row r="47" customFormat="false" ht="15.75" hidden="false" customHeight="true" outlineLevel="0" collapsed="false">
      <c r="A47" s="5"/>
      <c r="B47" s="5"/>
      <c r="C47" s="5"/>
      <c r="D47" s="5" t="str">
        <f aca="false">IF(C47="","",VLOOKUP(C47,PRECIOS!A:B,2,FALSE()))</f>
        <v/>
      </c>
      <c r="E47" s="5" t="str">
        <f aca="false">IF(C47="","",VLOOKUP(C47,PRECIOS!A:C,3,FALSE()))</f>
        <v/>
      </c>
      <c r="F47" s="5" t="str">
        <f aca="false">IF(C47="","",VLOOKUP(C47,PRECIOS!A:D,4,FALSE()))</f>
        <v/>
      </c>
      <c r="G47" s="5" t="str">
        <f aca="false">IF(C47="","",F47*0.2)</f>
        <v/>
      </c>
      <c r="H47" s="5" t="str">
        <f aca="false">IF(C47="","",F47*0.8)</f>
        <v/>
      </c>
    </row>
    <row r="48" customFormat="false" ht="15.75" hidden="false" customHeight="true" outlineLevel="0" collapsed="false">
      <c r="A48" s="5"/>
      <c r="B48" s="5"/>
      <c r="C48" s="5"/>
      <c r="D48" s="5" t="str">
        <f aca="false">IF(C48="","",VLOOKUP(C48,PRECIOS!A:B,2,FALSE()))</f>
        <v/>
      </c>
      <c r="E48" s="5" t="str">
        <f aca="false">IF(C48="","",VLOOKUP(C48,PRECIOS!A:C,3,FALSE()))</f>
        <v/>
      </c>
      <c r="F48" s="5" t="str">
        <f aca="false">IF(C48="","",VLOOKUP(C48,PRECIOS!A:D,4,FALSE()))</f>
        <v/>
      </c>
      <c r="G48" s="5" t="str">
        <f aca="false">IF(C48="","",F48*0.2)</f>
        <v/>
      </c>
      <c r="H48" s="5" t="str">
        <f aca="false">IF(C48="","",F48*0.8)</f>
        <v/>
      </c>
    </row>
    <row r="49" customFormat="false" ht="15.75" hidden="false" customHeight="true" outlineLevel="0" collapsed="false">
      <c r="A49" s="5"/>
      <c r="B49" s="5"/>
      <c r="C49" s="5"/>
      <c r="D49" s="5" t="str">
        <f aca="false">IF(C49="","",VLOOKUP(C49,PRECIOS!A:B,2,FALSE()))</f>
        <v/>
      </c>
      <c r="E49" s="5" t="str">
        <f aca="false">IF(C49="","",VLOOKUP(C49,PRECIOS!A:C,3,FALSE()))</f>
        <v/>
      </c>
      <c r="F49" s="5" t="str">
        <f aca="false">IF(C49="","",VLOOKUP(C49,PRECIOS!A:D,4,FALSE()))</f>
        <v/>
      </c>
      <c r="G49" s="5" t="str">
        <f aca="false">IF(C49="","",F49*0.2)</f>
        <v/>
      </c>
      <c r="H49" s="5" t="str">
        <f aca="false">IF(C49="","",F49*0.8)</f>
        <v/>
      </c>
    </row>
    <row r="50" customFormat="false" ht="15.75" hidden="false" customHeight="true" outlineLevel="0" collapsed="false">
      <c r="A50" s="5"/>
      <c r="B50" s="5"/>
      <c r="C50" s="5"/>
      <c r="D50" s="5" t="str">
        <f aca="false">IF(C50="","",VLOOKUP(C50,PRECIOS!A:B,2,FALSE()))</f>
        <v/>
      </c>
      <c r="E50" s="5" t="str">
        <f aca="false">IF(C50="","",VLOOKUP(C50,PRECIOS!A:C,3,FALSE()))</f>
        <v/>
      </c>
      <c r="F50" s="5" t="str">
        <f aca="false">IF(C50="","",VLOOKUP(C50,PRECIOS!A:D,4,FALSE()))</f>
        <v/>
      </c>
      <c r="G50" s="5" t="str">
        <f aca="false">IF(C50="","",F50*0.2)</f>
        <v/>
      </c>
      <c r="H50" s="5" t="str">
        <f aca="false">IF(C50="","",F50*0.8)</f>
        <v/>
      </c>
    </row>
    <row r="51" customFormat="false" ht="15.75" hidden="false" customHeight="true" outlineLevel="0" collapsed="false">
      <c r="A51" s="5"/>
      <c r="B51" s="5"/>
      <c r="C51" s="5"/>
      <c r="D51" s="5" t="str">
        <f aca="false">IF(C51="","",VLOOKUP(C51,PRECIOS!A:B,2,FALSE()))</f>
        <v/>
      </c>
      <c r="E51" s="5" t="str">
        <f aca="false">IF(C51="","",VLOOKUP(C51,PRECIOS!A:C,3,FALSE()))</f>
        <v/>
      </c>
      <c r="F51" s="5" t="str">
        <f aca="false">IF(C51="","",VLOOKUP(C51,PRECIOS!A:D,4,FALSE()))</f>
        <v/>
      </c>
      <c r="G51" s="5" t="str">
        <f aca="false">IF(C51="","",F51*0.2)</f>
        <v/>
      </c>
      <c r="H51" s="5" t="str">
        <f aca="false">IF(C51="","",F51*0.8)</f>
        <v/>
      </c>
    </row>
    <row r="52" customFormat="false" ht="15.75" hidden="false" customHeight="true" outlineLevel="0" collapsed="false">
      <c r="A52" s="5"/>
      <c r="B52" s="5"/>
      <c r="C52" s="5"/>
      <c r="D52" s="5" t="str">
        <f aca="false">IF(C52="","",VLOOKUP(C52,PRECIOS!A:B,2,FALSE()))</f>
        <v/>
      </c>
      <c r="E52" s="5" t="str">
        <f aca="false">IF(C52="","",VLOOKUP(C52,PRECIOS!A:C,3,FALSE()))</f>
        <v/>
      </c>
      <c r="F52" s="5" t="str">
        <f aca="false">IF(C52="","",VLOOKUP(C52,PRECIOS!A:D,4,FALSE()))</f>
        <v/>
      </c>
      <c r="G52" s="5" t="str">
        <f aca="false">IF(C52="","",F52*0.2)</f>
        <v/>
      </c>
      <c r="H52" s="5" t="str">
        <f aca="false">IF(C52="","",F52*0.8)</f>
        <v/>
      </c>
    </row>
    <row r="53" customFormat="false" ht="15.75" hidden="false" customHeight="true" outlineLevel="0" collapsed="false">
      <c r="A53" s="5"/>
      <c r="B53" s="5"/>
      <c r="C53" s="5"/>
      <c r="D53" s="5" t="str">
        <f aca="false">IF(C53="","",VLOOKUP(C53,PRECIOS!A:B,2,FALSE()))</f>
        <v/>
      </c>
      <c r="E53" s="5" t="str">
        <f aca="false">IF(C53="","",VLOOKUP(C53,PRECIOS!A:C,3,FALSE()))</f>
        <v/>
      </c>
      <c r="F53" s="5" t="str">
        <f aca="false">IF(C53="","",VLOOKUP(C53,PRECIOS!A:D,4,FALSE()))</f>
        <v/>
      </c>
      <c r="G53" s="5" t="str">
        <f aca="false">IF(C53="","",F53*0.2)</f>
        <v/>
      </c>
      <c r="H53" s="5" t="str">
        <f aca="false">IF(C53="","",F53*0.8)</f>
        <v/>
      </c>
    </row>
    <row r="54" customFormat="false" ht="15.75" hidden="false" customHeight="true" outlineLevel="0" collapsed="false">
      <c r="A54" s="5"/>
      <c r="B54" s="5"/>
      <c r="C54" s="5"/>
      <c r="D54" s="5" t="str">
        <f aca="false">IF(C54="","",VLOOKUP(C54,PRECIOS!A:B,2,FALSE()))</f>
        <v/>
      </c>
      <c r="E54" s="5" t="str">
        <f aca="false">IF(C54="","",VLOOKUP(C54,PRECIOS!A:C,3,FALSE()))</f>
        <v/>
      </c>
      <c r="F54" s="5" t="str">
        <f aca="false">IF(C54="","",VLOOKUP(C54,PRECIOS!A:D,4,FALSE()))</f>
        <v/>
      </c>
      <c r="G54" s="5" t="str">
        <f aca="false">IF(C54="","",F54*0.2)</f>
        <v/>
      </c>
      <c r="H54" s="5" t="str">
        <f aca="false">IF(C54="","",F54*0.8)</f>
        <v/>
      </c>
    </row>
    <row r="55" customFormat="false" ht="15.75" hidden="false" customHeight="true" outlineLevel="0" collapsed="false">
      <c r="A55" s="5"/>
      <c r="B55" s="5"/>
      <c r="C55" s="5"/>
      <c r="D55" s="5" t="str">
        <f aca="false">IF(C55="","",VLOOKUP(C55,PRECIOS!A:B,2,FALSE()))</f>
        <v/>
      </c>
      <c r="E55" s="5" t="str">
        <f aca="false">IF(C55="","",VLOOKUP(C55,PRECIOS!A:C,3,FALSE()))</f>
        <v/>
      </c>
      <c r="F55" s="5" t="str">
        <f aca="false">IF(C55="","",VLOOKUP(C55,PRECIOS!A:D,4,FALSE()))</f>
        <v/>
      </c>
      <c r="G55" s="5" t="str">
        <f aca="false">IF(C55="","",F55*0.2)</f>
        <v/>
      </c>
      <c r="H55" s="5" t="str">
        <f aca="false">IF(C55="","",F55*0.8)</f>
        <v/>
      </c>
    </row>
    <row r="56" customFormat="false" ht="15.75" hidden="false" customHeight="true" outlineLevel="0" collapsed="false">
      <c r="A56" s="5"/>
      <c r="B56" s="5"/>
      <c r="C56" s="5"/>
      <c r="D56" s="5" t="str">
        <f aca="false">IF(C56="","",VLOOKUP(C56,PRECIOS!A:B,2,FALSE()))</f>
        <v/>
      </c>
      <c r="E56" s="5" t="str">
        <f aca="false">IF(C56="","",VLOOKUP(C56,PRECIOS!A:C,3,FALSE()))</f>
        <v/>
      </c>
      <c r="F56" s="5" t="str">
        <f aca="false">IF(C56="","",VLOOKUP(C56,PRECIOS!A:D,4,FALSE()))</f>
        <v/>
      </c>
      <c r="G56" s="5" t="str">
        <f aca="false">IF(C56="","",F56*0.2)</f>
        <v/>
      </c>
      <c r="H56" s="5" t="str">
        <f aca="false">IF(C56="","",F56*0.8)</f>
        <v/>
      </c>
    </row>
    <row r="57" customFormat="false" ht="15.75" hidden="false" customHeight="true" outlineLevel="0" collapsed="false">
      <c r="A57" s="5"/>
      <c r="B57" s="5"/>
      <c r="C57" s="5"/>
      <c r="D57" s="5" t="str">
        <f aca="false">IF(C57="","",VLOOKUP(C57,PRECIOS!A:B,2,FALSE()))</f>
        <v/>
      </c>
      <c r="E57" s="5" t="str">
        <f aca="false">IF(C57="","",VLOOKUP(C57,PRECIOS!A:C,3,FALSE()))</f>
        <v/>
      </c>
      <c r="F57" s="5" t="str">
        <f aca="false">IF(C57="","",VLOOKUP(C57,PRECIOS!A:D,4,FALSE()))</f>
        <v/>
      </c>
      <c r="G57" s="5" t="str">
        <f aca="false">IF(C57="","",F57*0.2)</f>
        <v/>
      </c>
      <c r="H57" s="5" t="str">
        <f aca="false">IF(C57="","",F57*0.8)</f>
        <v/>
      </c>
    </row>
    <row r="58" customFormat="false" ht="15.75" hidden="false" customHeight="true" outlineLevel="0" collapsed="false">
      <c r="A58" s="5"/>
      <c r="B58" s="5"/>
      <c r="C58" s="5"/>
      <c r="D58" s="5" t="str">
        <f aca="false">IF(C58="","",VLOOKUP(C58,PRECIOS!A:B,2,FALSE()))</f>
        <v/>
      </c>
      <c r="E58" s="5" t="str">
        <f aca="false">IF(C58="","",VLOOKUP(C58,PRECIOS!A:C,3,FALSE()))</f>
        <v/>
      </c>
      <c r="F58" s="5" t="str">
        <f aca="false">IF(C58="","",VLOOKUP(C58,PRECIOS!A:D,4,FALSE()))</f>
        <v/>
      </c>
      <c r="G58" s="5" t="str">
        <f aca="false">IF(C58="","",F58*0.2)</f>
        <v/>
      </c>
      <c r="H58" s="5" t="str">
        <f aca="false">IF(C58="","",F58*0.8)</f>
        <v/>
      </c>
    </row>
    <row r="59" customFormat="false" ht="15.75" hidden="false" customHeight="true" outlineLevel="0" collapsed="false">
      <c r="A59" s="5"/>
      <c r="B59" s="5"/>
      <c r="C59" s="5"/>
      <c r="D59" s="5" t="str">
        <f aca="false">IF(C59="","",VLOOKUP(C59,PRECIOS!A:B,2,FALSE()))</f>
        <v/>
      </c>
      <c r="E59" s="5" t="str">
        <f aca="false">IF(C59="","",VLOOKUP(C59,PRECIOS!A:C,3,FALSE()))</f>
        <v/>
      </c>
      <c r="F59" s="5" t="str">
        <f aca="false">IF(C59="","",VLOOKUP(C59,PRECIOS!A:D,4,FALSE()))</f>
        <v/>
      </c>
      <c r="G59" s="5" t="str">
        <f aca="false">IF(C59="","",F59*0.2)</f>
        <v/>
      </c>
      <c r="H59" s="5" t="str">
        <f aca="false">IF(C59="","",F59*0.8)</f>
        <v/>
      </c>
    </row>
    <row r="60" customFormat="false" ht="15.75" hidden="false" customHeight="true" outlineLevel="0" collapsed="false">
      <c r="A60" s="5"/>
      <c r="B60" s="5"/>
      <c r="C60" s="5"/>
      <c r="D60" s="5" t="str">
        <f aca="false">IF(C60="","",VLOOKUP(C60,PRECIOS!A:B,2,FALSE()))</f>
        <v/>
      </c>
      <c r="E60" s="5" t="str">
        <f aca="false">IF(C60="","",VLOOKUP(C60,PRECIOS!A:C,3,FALSE()))</f>
        <v/>
      </c>
      <c r="F60" s="5" t="str">
        <f aca="false">IF(C60="","",VLOOKUP(C60,PRECIOS!A:D,4,FALSE()))</f>
        <v/>
      </c>
      <c r="G60" s="5" t="str">
        <f aca="false">IF(C60="","",F60*0.2)</f>
        <v/>
      </c>
      <c r="H60" s="5" t="str">
        <f aca="false">IF(C60="","",F60*0.8)</f>
        <v/>
      </c>
    </row>
    <row r="61" customFormat="false" ht="15.75" hidden="false" customHeight="true" outlineLevel="0" collapsed="false">
      <c r="A61" s="5"/>
      <c r="B61" s="5"/>
      <c r="C61" s="5"/>
      <c r="D61" s="5" t="str">
        <f aca="false">IF(C61="","",VLOOKUP(C61,PRECIOS!A:B,2,FALSE()))</f>
        <v/>
      </c>
      <c r="E61" s="5" t="str">
        <f aca="false">IF(C61="","",VLOOKUP(C61,PRECIOS!A:C,3,FALSE()))</f>
        <v/>
      </c>
      <c r="F61" s="5" t="str">
        <f aca="false">IF(C61="","",VLOOKUP(C61,PRECIOS!A:D,4,FALSE()))</f>
        <v/>
      </c>
      <c r="G61" s="5" t="str">
        <f aca="false">IF(C61="","",F61*0.2)</f>
        <v/>
      </c>
      <c r="H61" s="5" t="str">
        <f aca="false">IF(C61="","",F61*0.8)</f>
        <v/>
      </c>
    </row>
    <row r="62" customFormat="false" ht="15.75" hidden="false" customHeight="true" outlineLevel="0" collapsed="false">
      <c r="A62" s="5"/>
      <c r="B62" s="5"/>
      <c r="C62" s="5"/>
      <c r="D62" s="5" t="str">
        <f aca="false">IF(C62="","",VLOOKUP(C62,PRECIOS!A:B,2,FALSE()))</f>
        <v/>
      </c>
      <c r="E62" s="5" t="str">
        <f aca="false">IF(C62="","",VLOOKUP(C62,PRECIOS!A:C,3,FALSE()))</f>
        <v/>
      </c>
      <c r="F62" s="5" t="str">
        <f aca="false">IF(C62="","",VLOOKUP(C62,PRECIOS!A:D,4,FALSE()))</f>
        <v/>
      </c>
      <c r="G62" s="5" t="str">
        <f aca="false">IF(C62="","",F62*0.2)</f>
        <v/>
      </c>
      <c r="H62" s="5" t="str">
        <f aca="false">IF(C62="","",F62*0.8)</f>
        <v/>
      </c>
    </row>
    <row r="63" customFormat="false" ht="15.75" hidden="false" customHeight="true" outlineLevel="0" collapsed="false">
      <c r="A63" s="5"/>
      <c r="B63" s="5"/>
      <c r="C63" s="5"/>
      <c r="D63" s="5" t="str">
        <f aca="false">IF(C63="","",VLOOKUP(C63,PRECIOS!A:B,2,FALSE()))</f>
        <v/>
      </c>
      <c r="E63" s="5" t="str">
        <f aca="false">IF(C63="","",VLOOKUP(C63,PRECIOS!A:C,3,FALSE()))</f>
        <v/>
      </c>
      <c r="F63" s="5" t="str">
        <f aca="false">IF(C63="","",VLOOKUP(C63,PRECIOS!A:D,4,FALSE()))</f>
        <v/>
      </c>
      <c r="G63" s="5" t="str">
        <f aca="false">IF(C63="","",F63*0.2)</f>
        <v/>
      </c>
      <c r="H63" s="5" t="str">
        <f aca="false">IF(C63="","",F63*0.8)</f>
        <v/>
      </c>
    </row>
    <row r="64" customFormat="false" ht="15.75" hidden="false" customHeight="true" outlineLevel="0" collapsed="false">
      <c r="A64" s="5"/>
      <c r="B64" s="5"/>
      <c r="C64" s="5"/>
      <c r="D64" s="5" t="str">
        <f aca="false">IF(C64="","",VLOOKUP(C64,PRECIOS!A:B,2,FALSE()))</f>
        <v/>
      </c>
      <c r="E64" s="5" t="str">
        <f aca="false">IF(C64="","",VLOOKUP(C64,PRECIOS!A:C,3,FALSE()))</f>
        <v/>
      </c>
      <c r="F64" s="5" t="str">
        <f aca="false">IF(C64="","",VLOOKUP(C64,PRECIOS!A:D,4,FALSE()))</f>
        <v/>
      </c>
      <c r="G64" s="5" t="str">
        <f aca="false">IF(C64="","",F64*0.2)</f>
        <v/>
      </c>
      <c r="H64" s="5" t="str">
        <f aca="false">IF(C64="","",F64*0.8)</f>
        <v/>
      </c>
    </row>
    <row r="65" customFormat="false" ht="15.75" hidden="false" customHeight="true" outlineLevel="0" collapsed="false">
      <c r="A65" s="5"/>
      <c r="B65" s="5"/>
      <c r="C65" s="5"/>
      <c r="D65" s="5" t="str">
        <f aca="false">IF(C65="","",VLOOKUP(C65,PRECIOS!A:B,2,FALSE()))</f>
        <v/>
      </c>
      <c r="E65" s="5" t="str">
        <f aca="false">IF(C65="","",VLOOKUP(C65,PRECIOS!A:C,3,FALSE()))</f>
        <v/>
      </c>
      <c r="F65" s="5" t="str">
        <f aca="false">IF(C65="","",VLOOKUP(C65,PRECIOS!A:D,4,FALSE()))</f>
        <v/>
      </c>
      <c r="G65" s="5" t="str">
        <f aca="false">IF(C65="","",F65*0.2)</f>
        <v/>
      </c>
      <c r="H65" s="5" t="str">
        <f aca="false">IF(C65="","",F65*0.8)</f>
        <v/>
      </c>
    </row>
    <row r="66" customFormat="false" ht="15.75" hidden="false" customHeight="true" outlineLevel="0" collapsed="false">
      <c r="A66" s="5"/>
      <c r="B66" s="5"/>
      <c r="C66" s="5"/>
      <c r="D66" s="5" t="str">
        <f aca="false">IF(C66="","",VLOOKUP(C66,PRECIOS!A:B,2,FALSE()))</f>
        <v/>
      </c>
      <c r="E66" s="5" t="str">
        <f aca="false">IF(C66="","",VLOOKUP(C66,PRECIOS!A:C,3,FALSE()))</f>
        <v/>
      </c>
      <c r="F66" s="5" t="str">
        <f aca="false">IF(C66="","",VLOOKUP(C66,PRECIOS!A:D,4,FALSE()))</f>
        <v/>
      </c>
      <c r="G66" s="5" t="str">
        <f aca="false">IF(C66="","",F66*0.2)</f>
        <v/>
      </c>
      <c r="H66" s="5" t="str">
        <f aca="false">IF(C66="","",F66*0.8)</f>
        <v/>
      </c>
    </row>
    <row r="67" customFormat="false" ht="15.75" hidden="false" customHeight="true" outlineLevel="0" collapsed="false">
      <c r="A67" s="5"/>
      <c r="B67" s="5"/>
      <c r="C67" s="5"/>
      <c r="D67" s="5" t="str">
        <f aca="false">IF(C67="","",VLOOKUP(C67,PRECIOS!A:B,2,FALSE()))</f>
        <v/>
      </c>
      <c r="E67" s="5" t="str">
        <f aca="false">IF(C67="","",VLOOKUP(C67,PRECIOS!A:C,3,FALSE()))</f>
        <v/>
      </c>
      <c r="F67" s="5" t="str">
        <f aca="false">IF(C67="","",VLOOKUP(C67,PRECIOS!A:D,4,FALSE()))</f>
        <v/>
      </c>
      <c r="G67" s="5" t="str">
        <f aca="false">IF(C67="","",F67*0.2)</f>
        <v/>
      </c>
      <c r="H67" s="5" t="str">
        <f aca="false">IF(C67="","",F67*0.8)</f>
        <v/>
      </c>
    </row>
    <row r="68" customFormat="false" ht="15.75" hidden="false" customHeight="true" outlineLevel="0" collapsed="false">
      <c r="A68" s="5"/>
      <c r="B68" s="5"/>
      <c r="C68" s="5"/>
      <c r="D68" s="5" t="str">
        <f aca="false">IF(C68="","",VLOOKUP(C68,PRECIOS!A:B,2,FALSE()))</f>
        <v/>
      </c>
      <c r="E68" s="5" t="str">
        <f aca="false">IF(C68="","",VLOOKUP(C68,PRECIOS!A:C,3,FALSE()))</f>
        <v/>
      </c>
      <c r="F68" s="5" t="str">
        <f aca="false">IF(C68="","",VLOOKUP(C68,PRECIOS!A:D,4,FALSE()))</f>
        <v/>
      </c>
      <c r="G68" s="5" t="str">
        <f aca="false">IF(C68="","",F68*0.2)</f>
        <v/>
      </c>
      <c r="H68" s="5" t="str">
        <f aca="false">IF(C68="","",F68*0.8)</f>
        <v/>
      </c>
    </row>
    <row r="69" customFormat="false" ht="15.75" hidden="false" customHeight="true" outlineLevel="0" collapsed="false">
      <c r="A69" s="5"/>
      <c r="B69" s="5"/>
      <c r="C69" s="5"/>
      <c r="D69" s="5" t="str">
        <f aca="false">IF(C69="","",VLOOKUP(C69,PRECIOS!A:B,2,FALSE()))</f>
        <v/>
      </c>
      <c r="E69" s="5" t="str">
        <f aca="false">IF(C69="","",VLOOKUP(C69,PRECIOS!A:C,3,FALSE()))</f>
        <v/>
      </c>
      <c r="F69" s="5" t="str">
        <f aca="false">IF(C69="","",VLOOKUP(C69,PRECIOS!A:D,4,FALSE()))</f>
        <v/>
      </c>
      <c r="G69" s="5" t="str">
        <f aca="false">IF(C69="","",F69*0.2)</f>
        <v/>
      </c>
      <c r="H69" s="5" t="str">
        <f aca="false">IF(C69="","",F69*0.8)</f>
        <v/>
      </c>
    </row>
    <row r="70" customFormat="false" ht="15.75" hidden="false" customHeight="true" outlineLevel="0" collapsed="false">
      <c r="A70" s="5"/>
      <c r="B70" s="5"/>
      <c r="C70" s="5"/>
      <c r="D70" s="5" t="str">
        <f aca="false">IF(C70="","",VLOOKUP(C70,PRECIOS!A:B,2,FALSE()))</f>
        <v/>
      </c>
      <c r="E70" s="5" t="str">
        <f aca="false">IF(C70="","",VLOOKUP(C70,PRECIOS!A:C,3,FALSE()))</f>
        <v/>
      </c>
      <c r="F70" s="5" t="str">
        <f aca="false">IF(C70="","",VLOOKUP(C70,PRECIOS!A:D,4,FALSE()))</f>
        <v/>
      </c>
      <c r="G70" s="5" t="str">
        <f aca="false">IF(C70="","",F70*0.2)</f>
        <v/>
      </c>
      <c r="H70" s="5" t="str">
        <f aca="false">IF(C70="","",F70*0.8)</f>
        <v/>
      </c>
    </row>
    <row r="71" customFormat="false" ht="15.75" hidden="false" customHeight="true" outlineLevel="0" collapsed="false">
      <c r="A71" s="5"/>
      <c r="B71" s="5"/>
      <c r="C71" s="5"/>
      <c r="D71" s="5" t="str">
        <f aca="false">IF(C71="","",VLOOKUP(C71,PRECIOS!A:B,2,FALSE()))</f>
        <v/>
      </c>
      <c r="E71" s="5" t="str">
        <f aca="false">IF(C71="","",VLOOKUP(C71,PRECIOS!A:C,3,FALSE()))</f>
        <v/>
      </c>
      <c r="F71" s="5" t="str">
        <f aca="false">IF(C71="","",VLOOKUP(C71,PRECIOS!A:D,4,FALSE()))</f>
        <v/>
      </c>
      <c r="G71" s="5" t="str">
        <f aca="false">IF(C71="","",F71*0.2)</f>
        <v/>
      </c>
      <c r="H71" s="5" t="str">
        <f aca="false">IF(C71="","",F71*0.8)</f>
        <v/>
      </c>
    </row>
    <row r="72" customFormat="false" ht="15.75" hidden="false" customHeight="true" outlineLevel="0" collapsed="false">
      <c r="A72" s="5"/>
      <c r="B72" s="5"/>
      <c r="C72" s="5"/>
      <c r="D72" s="5" t="str">
        <f aca="false">IF(C72="","",VLOOKUP(C72,PRECIOS!A:B,2,FALSE()))</f>
        <v/>
      </c>
      <c r="E72" s="5" t="str">
        <f aca="false">IF(C72="","",VLOOKUP(C72,PRECIOS!A:C,3,FALSE()))</f>
        <v/>
      </c>
      <c r="F72" s="5" t="str">
        <f aca="false">IF(C72="","",VLOOKUP(C72,PRECIOS!A:D,4,FALSE()))</f>
        <v/>
      </c>
      <c r="G72" s="5" t="str">
        <f aca="false">IF(C72="","",F72*0.2)</f>
        <v/>
      </c>
      <c r="H72" s="5" t="str">
        <f aca="false">IF(C72="","",F72*0.8)</f>
        <v/>
      </c>
    </row>
    <row r="73" customFormat="false" ht="15.75" hidden="false" customHeight="true" outlineLevel="0" collapsed="false">
      <c r="A73" s="5"/>
      <c r="B73" s="5"/>
      <c r="C73" s="5"/>
      <c r="D73" s="5" t="str">
        <f aca="false">IF(C73="","",VLOOKUP(C73,PRECIOS!A:B,2,FALSE()))</f>
        <v/>
      </c>
      <c r="E73" s="5" t="str">
        <f aca="false">IF(C73="","",VLOOKUP(C73,PRECIOS!A:C,3,FALSE()))</f>
        <v/>
      </c>
      <c r="F73" s="5" t="str">
        <f aca="false">IF(C73="","",VLOOKUP(C73,PRECIOS!A:D,4,FALSE()))</f>
        <v/>
      </c>
      <c r="G73" s="5" t="str">
        <f aca="false">IF(C73="","",F73*0.2)</f>
        <v/>
      </c>
      <c r="H73" s="5" t="str">
        <f aca="false">IF(C73="","",F73*0.8)</f>
        <v/>
      </c>
    </row>
    <row r="74" customFormat="false" ht="15.75" hidden="false" customHeight="true" outlineLevel="0" collapsed="false">
      <c r="A74" s="5"/>
      <c r="B74" s="5"/>
      <c r="C74" s="5"/>
      <c r="D74" s="5" t="str">
        <f aca="false">IF(C74="","",VLOOKUP(C74,PRECIOS!A:B,2,FALSE()))</f>
        <v/>
      </c>
      <c r="E74" s="5" t="str">
        <f aca="false">IF(C74="","",VLOOKUP(C74,PRECIOS!A:C,3,FALSE()))</f>
        <v/>
      </c>
      <c r="F74" s="5" t="str">
        <f aca="false">IF(C74="","",VLOOKUP(C74,PRECIOS!A:D,4,FALSE()))</f>
        <v/>
      </c>
      <c r="G74" s="5" t="str">
        <f aca="false">IF(C74="","",F74*0.2)</f>
        <v/>
      </c>
      <c r="H74" s="5" t="str">
        <f aca="false">IF(C74="","",F74*0.8)</f>
        <v/>
      </c>
    </row>
    <row r="75" customFormat="false" ht="15.75" hidden="false" customHeight="true" outlineLevel="0" collapsed="false">
      <c r="A75" s="5"/>
      <c r="B75" s="5"/>
      <c r="C75" s="5"/>
      <c r="D75" s="5" t="str">
        <f aca="false">IF(C75="","",VLOOKUP(C75,PRECIOS!A:B,2,FALSE()))</f>
        <v/>
      </c>
      <c r="E75" s="5" t="str">
        <f aca="false">IF(C75="","",VLOOKUP(C75,PRECIOS!A:C,3,FALSE()))</f>
        <v/>
      </c>
      <c r="F75" s="5" t="str">
        <f aca="false">IF(C75="","",VLOOKUP(C75,PRECIOS!A:D,4,FALSE()))</f>
        <v/>
      </c>
      <c r="G75" s="5" t="str">
        <f aca="false">IF(C75="","",F75*0.2)</f>
        <v/>
      </c>
      <c r="H75" s="5" t="str">
        <f aca="false">IF(C75="","",F75*0.8)</f>
        <v/>
      </c>
    </row>
    <row r="76" customFormat="false" ht="15.75" hidden="false" customHeight="true" outlineLevel="0" collapsed="false">
      <c r="A76" s="5"/>
      <c r="B76" s="5"/>
      <c r="C76" s="5"/>
      <c r="D76" s="5" t="str">
        <f aca="false">IF(C76="","",VLOOKUP(C76,PRECIOS!A:B,2,FALSE()))</f>
        <v/>
      </c>
      <c r="E76" s="5" t="str">
        <f aca="false">IF(C76="","",VLOOKUP(C76,PRECIOS!A:C,3,FALSE()))</f>
        <v/>
      </c>
      <c r="F76" s="5" t="str">
        <f aca="false">IF(C76="","",VLOOKUP(C76,PRECIOS!A:D,4,FALSE()))</f>
        <v/>
      </c>
      <c r="G76" s="5" t="str">
        <f aca="false">IF(C76="","",F76*0.2)</f>
        <v/>
      </c>
      <c r="H76" s="5" t="str">
        <f aca="false">IF(C76="","",F76*0.8)</f>
        <v/>
      </c>
    </row>
    <row r="77" customFormat="false" ht="15.75" hidden="false" customHeight="true" outlineLevel="0" collapsed="false">
      <c r="A77" s="5"/>
      <c r="B77" s="5"/>
      <c r="C77" s="5"/>
      <c r="D77" s="5" t="str">
        <f aca="false">IF(C77="","",VLOOKUP(C77,PRECIOS!A:B,2,FALSE()))</f>
        <v/>
      </c>
      <c r="E77" s="5" t="str">
        <f aca="false">IF(C77="","",VLOOKUP(C77,PRECIOS!A:C,3,FALSE()))</f>
        <v/>
      </c>
      <c r="F77" s="5" t="str">
        <f aca="false">IF(C77="","",VLOOKUP(C77,PRECIOS!A:D,4,FALSE()))</f>
        <v/>
      </c>
      <c r="G77" s="5" t="str">
        <f aca="false">IF(C77="","",F77*0.2)</f>
        <v/>
      </c>
      <c r="H77" s="5" t="str">
        <f aca="false">IF(C77="","",F77*0.8)</f>
        <v/>
      </c>
    </row>
    <row r="78" customFormat="false" ht="15.75" hidden="false" customHeight="true" outlineLevel="0" collapsed="false">
      <c r="A78" s="5"/>
      <c r="B78" s="5"/>
      <c r="C78" s="5"/>
      <c r="D78" s="5" t="str">
        <f aca="false">IF(C78="","",VLOOKUP(C78,PRECIOS!A:B,2,FALSE()))</f>
        <v/>
      </c>
      <c r="E78" s="5" t="str">
        <f aca="false">IF(C78="","",VLOOKUP(C78,PRECIOS!A:C,3,FALSE()))</f>
        <v/>
      </c>
      <c r="F78" s="5" t="str">
        <f aca="false">IF(C78="","",VLOOKUP(C78,PRECIOS!A:D,4,FALSE()))</f>
        <v/>
      </c>
      <c r="G78" s="5" t="str">
        <f aca="false">IF(C78="","",F78*0.2)</f>
        <v/>
      </c>
      <c r="H78" s="5" t="str">
        <f aca="false">IF(C78="","",F78*0.8)</f>
        <v/>
      </c>
    </row>
    <row r="79" customFormat="false" ht="15.75" hidden="false" customHeight="true" outlineLevel="0" collapsed="false">
      <c r="A79" s="5"/>
      <c r="B79" s="5"/>
      <c r="C79" s="5"/>
      <c r="D79" s="5" t="str">
        <f aca="false">IF(C79="","",VLOOKUP(C79,PRECIOS!A:B,2,FALSE()))</f>
        <v/>
      </c>
      <c r="E79" s="5" t="str">
        <f aca="false">IF(C79="","",VLOOKUP(C79,PRECIOS!A:C,3,FALSE()))</f>
        <v/>
      </c>
      <c r="F79" s="5" t="str">
        <f aca="false">IF(C79="","",VLOOKUP(C79,PRECIOS!A:D,4,FALSE()))</f>
        <v/>
      </c>
      <c r="G79" s="5" t="str">
        <f aca="false">IF(C79="","",F79*0.2)</f>
        <v/>
      </c>
      <c r="H79" s="5" t="str">
        <f aca="false">IF(C79="","",F79*0.8)</f>
        <v/>
      </c>
    </row>
    <row r="80" customFormat="false" ht="15.75" hidden="false" customHeight="true" outlineLevel="0" collapsed="false">
      <c r="A80" s="5"/>
      <c r="B80" s="5"/>
      <c r="C80" s="5"/>
      <c r="D80" s="5" t="str">
        <f aca="false">IF(C80="","",VLOOKUP(C80,PRECIOS!A:B,2,FALSE()))</f>
        <v/>
      </c>
      <c r="E80" s="5" t="str">
        <f aca="false">IF(C80="","",VLOOKUP(C80,PRECIOS!A:C,3,FALSE()))</f>
        <v/>
      </c>
      <c r="F80" s="5" t="str">
        <f aca="false">IF(C80="","",VLOOKUP(C80,PRECIOS!A:D,4,FALSE()))</f>
        <v/>
      </c>
      <c r="G80" s="5" t="str">
        <f aca="false">IF(C80="","",F80*0.2)</f>
        <v/>
      </c>
      <c r="H80" s="5" t="str">
        <f aca="false">IF(C80="","",F80*0.8)</f>
        <v/>
      </c>
    </row>
    <row r="81" customFormat="false" ht="15.75" hidden="false" customHeight="true" outlineLevel="0" collapsed="false">
      <c r="A81" s="5"/>
      <c r="B81" s="5"/>
      <c r="C81" s="5"/>
      <c r="D81" s="5" t="str">
        <f aca="false">IF(C81="","",VLOOKUP(C81,PRECIOS!A:B,2,FALSE()))</f>
        <v/>
      </c>
      <c r="E81" s="5" t="str">
        <f aca="false">IF(C81="","",VLOOKUP(C81,PRECIOS!A:C,3,FALSE()))</f>
        <v/>
      </c>
      <c r="F81" s="5" t="str">
        <f aca="false">IF(C81="","",VLOOKUP(C81,PRECIOS!A:D,4,FALSE()))</f>
        <v/>
      </c>
      <c r="G81" s="5" t="str">
        <f aca="false">IF(C81="","",F81*0.2)</f>
        <v/>
      </c>
      <c r="H81" s="5" t="str">
        <f aca="false">IF(C81="","",F81*0.8)</f>
        <v/>
      </c>
    </row>
    <row r="82" customFormat="false" ht="15.75" hidden="false" customHeight="true" outlineLevel="0" collapsed="false">
      <c r="A82" s="5"/>
      <c r="B82" s="5"/>
      <c r="C82" s="5"/>
      <c r="D82" s="5" t="str">
        <f aca="false">IF(C82="","",VLOOKUP(C82,PRECIOS!A:B,2,FALSE()))</f>
        <v/>
      </c>
      <c r="E82" s="5" t="str">
        <f aca="false">IF(C82="","",VLOOKUP(C82,PRECIOS!A:C,3,FALSE()))</f>
        <v/>
      </c>
      <c r="F82" s="5" t="str">
        <f aca="false">IF(C82="","",VLOOKUP(C82,PRECIOS!A:D,4,FALSE()))</f>
        <v/>
      </c>
      <c r="G82" s="5" t="str">
        <f aca="false">IF(C82="","",F82*0.2)</f>
        <v/>
      </c>
      <c r="H82" s="5" t="str">
        <f aca="false">IF(C82="","",F82*0.8)</f>
        <v/>
      </c>
    </row>
    <row r="83" customFormat="false" ht="15.75" hidden="false" customHeight="true" outlineLevel="0" collapsed="false">
      <c r="A83" s="5"/>
      <c r="B83" s="5"/>
      <c r="C83" s="5"/>
      <c r="D83" s="5" t="str">
        <f aca="false">IF(C83="","",VLOOKUP(C83,PRECIOS!A:B,2,FALSE()))</f>
        <v/>
      </c>
      <c r="E83" s="5" t="str">
        <f aca="false">IF(C83="","",VLOOKUP(C83,PRECIOS!A:C,3,FALSE()))</f>
        <v/>
      </c>
      <c r="F83" s="5" t="str">
        <f aca="false">IF(C83="","",VLOOKUP(C83,PRECIOS!A:D,4,FALSE()))</f>
        <v/>
      </c>
      <c r="G83" s="5" t="str">
        <f aca="false">IF(C83="","",F83*0.2)</f>
        <v/>
      </c>
      <c r="H83" s="5" t="str">
        <f aca="false">IF(C83="","",F83*0.8)</f>
        <v/>
      </c>
    </row>
    <row r="84" customFormat="false" ht="15.75" hidden="false" customHeight="true" outlineLevel="0" collapsed="false">
      <c r="A84" s="5"/>
      <c r="B84" s="5"/>
      <c r="C84" s="5"/>
      <c r="D84" s="5" t="str">
        <f aca="false">IF(C84="","",VLOOKUP(C84,PRECIOS!A:B,2,FALSE()))</f>
        <v/>
      </c>
      <c r="E84" s="5" t="str">
        <f aca="false">IF(C84="","",VLOOKUP(C84,PRECIOS!A:C,3,FALSE()))</f>
        <v/>
      </c>
      <c r="F84" s="5" t="str">
        <f aca="false">IF(C84="","",VLOOKUP(C84,PRECIOS!A:D,4,FALSE()))</f>
        <v/>
      </c>
      <c r="G84" s="5" t="str">
        <f aca="false">IF(C84="","",F84*0.2)</f>
        <v/>
      </c>
      <c r="H84" s="5" t="str">
        <f aca="false">IF(C84="","",F84*0.8)</f>
        <v/>
      </c>
    </row>
    <row r="85" customFormat="false" ht="15.75" hidden="false" customHeight="true" outlineLevel="0" collapsed="false">
      <c r="A85" s="5"/>
      <c r="B85" s="5"/>
      <c r="C85" s="5"/>
      <c r="D85" s="5" t="str">
        <f aca="false">IF(C85="","",VLOOKUP(C85,PRECIOS!A:B,2,FALSE()))</f>
        <v/>
      </c>
      <c r="E85" s="5" t="str">
        <f aca="false">IF(C85="","",VLOOKUP(C85,PRECIOS!A:C,3,FALSE()))</f>
        <v/>
      </c>
      <c r="F85" s="5" t="str">
        <f aca="false">IF(C85="","",VLOOKUP(C85,PRECIOS!A:D,4,FALSE()))</f>
        <v/>
      </c>
      <c r="G85" s="5" t="str">
        <f aca="false">IF(C85="","",F85*0.2)</f>
        <v/>
      </c>
      <c r="H85" s="5" t="str">
        <f aca="false">IF(C85="","",F85*0.8)</f>
        <v/>
      </c>
    </row>
    <row r="86" customFormat="false" ht="15.75" hidden="false" customHeight="true" outlineLevel="0" collapsed="false">
      <c r="A86" s="5"/>
      <c r="B86" s="5"/>
      <c r="C86" s="5"/>
      <c r="D86" s="5" t="str">
        <f aca="false">IF(C86="","",VLOOKUP(C86,PRECIOS!A:B,2,FALSE()))</f>
        <v/>
      </c>
      <c r="E86" s="5" t="str">
        <f aca="false">IF(C86="","",VLOOKUP(C86,PRECIOS!A:C,3,FALSE()))</f>
        <v/>
      </c>
      <c r="F86" s="5" t="str">
        <f aca="false">IF(C86="","",VLOOKUP(C86,PRECIOS!A:D,4,FALSE()))</f>
        <v/>
      </c>
      <c r="G86" s="5" t="str">
        <f aca="false">IF(C86="","",F86*0.2)</f>
        <v/>
      </c>
      <c r="H86" s="5" t="str">
        <f aca="false">IF(C86="","",F86*0.8)</f>
        <v/>
      </c>
    </row>
    <row r="87" customFormat="false" ht="15.75" hidden="false" customHeight="true" outlineLevel="0" collapsed="false">
      <c r="A87" s="5"/>
      <c r="B87" s="5"/>
      <c r="C87" s="5"/>
      <c r="D87" s="5" t="str">
        <f aca="false">IF(C87="","",VLOOKUP(C87,PRECIOS!A:B,2,FALSE()))</f>
        <v/>
      </c>
      <c r="E87" s="5" t="str">
        <f aca="false">IF(C87="","",VLOOKUP(C87,PRECIOS!A:C,3,FALSE()))</f>
        <v/>
      </c>
      <c r="F87" s="5" t="str">
        <f aca="false">IF(C87="","",VLOOKUP(C87,PRECIOS!A:D,4,FALSE()))</f>
        <v/>
      </c>
      <c r="G87" s="5" t="str">
        <f aca="false">IF(C87="","",F87*0.2)</f>
        <v/>
      </c>
      <c r="H87" s="5" t="str">
        <f aca="false">IF(C87="","",F87*0.8)</f>
        <v/>
      </c>
    </row>
    <row r="88" customFormat="false" ht="15.75" hidden="false" customHeight="true" outlineLevel="0" collapsed="false">
      <c r="A88" s="5"/>
      <c r="B88" s="5"/>
      <c r="C88" s="5"/>
      <c r="D88" s="5" t="str">
        <f aca="false">IF(C88="","",VLOOKUP(C88,PRECIOS!A:B,2,FALSE()))</f>
        <v/>
      </c>
      <c r="E88" s="5" t="str">
        <f aca="false">IF(C88="","",VLOOKUP(C88,PRECIOS!A:C,3,FALSE()))</f>
        <v/>
      </c>
      <c r="F88" s="5" t="str">
        <f aca="false">IF(C88="","",VLOOKUP(C88,PRECIOS!A:D,4,FALSE()))</f>
        <v/>
      </c>
      <c r="G88" s="5" t="str">
        <f aca="false">IF(C88="","",F88*0.2)</f>
        <v/>
      </c>
      <c r="H88" s="5" t="str">
        <f aca="false">IF(C88="","",F88*0.8)</f>
        <v/>
      </c>
    </row>
    <row r="89" customFormat="false" ht="15.75" hidden="false" customHeight="true" outlineLevel="0" collapsed="false">
      <c r="A89" s="5"/>
      <c r="B89" s="5"/>
      <c r="C89" s="5"/>
      <c r="D89" s="5" t="str">
        <f aca="false">IF(C89="","",VLOOKUP(C89,PRECIOS!A:B,2,FALSE()))</f>
        <v/>
      </c>
      <c r="E89" s="5" t="str">
        <f aca="false">IF(C89="","",VLOOKUP(C89,PRECIOS!A:C,3,FALSE()))</f>
        <v/>
      </c>
      <c r="F89" s="5" t="str">
        <f aca="false">IF(C89="","",VLOOKUP(C89,PRECIOS!A:D,4,FALSE()))</f>
        <v/>
      </c>
      <c r="G89" s="5" t="str">
        <f aca="false">IF(C89="","",F89*0.2)</f>
        <v/>
      </c>
      <c r="H89" s="5" t="str">
        <f aca="false">IF(C89="","",F89*0.8)</f>
        <v/>
      </c>
    </row>
    <row r="90" customFormat="false" ht="15.75" hidden="false" customHeight="true" outlineLevel="0" collapsed="false">
      <c r="A90" s="5"/>
      <c r="B90" s="5"/>
      <c r="C90" s="5"/>
      <c r="D90" s="5" t="str">
        <f aca="false">IF(C90="","",VLOOKUP(C90,PRECIOS!A:B,2,FALSE()))</f>
        <v/>
      </c>
      <c r="E90" s="5" t="str">
        <f aca="false">IF(C90="","",VLOOKUP(C90,PRECIOS!A:C,3,FALSE()))</f>
        <v/>
      </c>
      <c r="F90" s="5" t="str">
        <f aca="false">IF(C90="","",VLOOKUP(C90,PRECIOS!A:D,4,FALSE()))</f>
        <v/>
      </c>
      <c r="G90" s="5" t="str">
        <f aca="false">IF(C90="","",F90*0.2)</f>
        <v/>
      </c>
      <c r="H90" s="5" t="str">
        <f aca="false">IF(C90="","",F90*0.8)</f>
        <v/>
      </c>
    </row>
    <row r="91" customFormat="false" ht="15.75" hidden="false" customHeight="true" outlineLevel="0" collapsed="false">
      <c r="A91" s="5"/>
      <c r="B91" s="5"/>
      <c r="C91" s="5"/>
      <c r="D91" s="5" t="str">
        <f aca="false">IF(C91="","",VLOOKUP(C91,PRECIOS!A:B,2,FALSE()))</f>
        <v/>
      </c>
      <c r="E91" s="5" t="str">
        <f aca="false">IF(C91="","",VLOOKUP(C91,PRECIOS!A:C,3,FALSE()))</f>
        <v/>
      </c>
      <c r="F91" s="5" t="str">
        <f aca="false">IF(C91="","",VLOOKUP(C91,PRECIOS!A:D,4,FALSE()))</f>
        <v/>
      </c>
      <c r="G91" s="5" t="str">
        <f aca="false">IF(C91="","",F91*0.2)</f>
        <v/>
      </c>
      <c r="H91" s="5" t="str">
        <f aca="false">IF(C91="","",F91*0.8)</f>
        <v/>
      </c>
    </row>
    <row r="92" customFormat="false" ht="15.75" hidden="false" customHeight="true" outlineLevel="0" collapsed="false">
      <c r="A92" s="5"/>
      <c r="B92" s="5"/>
      <c r="C92" s="5"/>
      <c r="D92" s="5" t="str">
        <f aca="false">IF(C92="","",VLOOKUP(C92,PRECIOS!A:B,2,FALSE()))</f>
        <v/>
      </c>
      <c r="E92" s="5" t="str">
        <f aca="false">IF(C92="","",VLOOKUP(C92,PRECIOS!A:C,3,FALSE()))</f>
        <v/>
      </c>
      <c r="F92" s="5" t="str">
        <f aca="false">IF(C92="","",VLOOKUP(C92,PRECIOS!A:D,4,FALSE()))</f>
        <v/>
      </c>
      <c r="G92" s="5" t="str">
        <f aca="false">IF(C92="","",F92*0.2)</f>
        <v/>
      </c>
      <c r="H92" s="5" t="str">
        <f aca="false">IF(C92="","",F92*0.8)</f>
        <v/>
      </c>
    </row>
    <row r="93" customFormat="false" ht="15.75" hidden="false" customHeight="true" outlineLevel="0" collapsed="false">
      <c r="A93" s="5"/>
      <c r="B93" s="5"/>
      <c r="C93" s="5"/>
      <c r="D93" s="5" t="str">
        <f aca="false">IF(C93="","",VLOOKUP(C93,PRECIOS!A:B,2,FALSE()))</f>
        <v/>
      </c>
      <c r="E93" s="5" t="str">
        <f aca="false">IF(C93="","",VLOOKUP(C93,PRECIOS!A:C,3,FALSE()))</f>
        <v/>
      </c>
      <c r="F93" s="5" t="str">
        <f aca="false">IF(C93="","",VLOOKUP(C93,PRECIOS!A:D,4,FALSE()))</f>
        <v/>
      </c>
      <c r="G93" s="5" t="str">
        <f aca="false">IF(C93="","",F93*0.2)</f>
        <v/>
      </c>
      <c r="H93" s="5" t="str">
        <f aca="false">IF(C93="","",F93*0.8)</f>
        <v/>
      </c>
    </row>
    <row r="94" customFormat="false" ht="15.75" hidden="false" customHeight="true" outlineLevel="0" collapsed="false">
      <c r="A94" s="5"/>
      <c r="B94" s="5"/>
      <c r="C94" s="5"/>
      <c r="D94" s="5" t="str">
        <f aca="false">IF(C94="","",VLOOKUP(C94,PRECIOS!A:B,2,FALSE()))</f>
        <v/>
      </c>
      <c r="E94" s="5" t="str">
        <f aca="false">IF(C94="","",VLOOKUP(C94,PRECIOS!A:C,3,FALSE()))</f>
        <v/>
      </c>
      <c r="F94" s="5" t="str">
        <f aca="false">IF(C94="","",VLOOKUP(C94,PRECIOS!A:D,4,FALSE()))</f>
        <v/>
      </c>
      <c r="G94" s="5" t="str">
        <f aca="false">IF(C94="","",F94*0.2)</f>
        <v/>
      </c>
      <c r="H94" s="5" t="str">
        <f aca="false">IF(C94="","",F94*0.8)</f>
        <v/>
      </c>
    </row>
    <row r="95" customFormat="false" ht="15.75" hidden="false" customHeight="true" outlineLevel="0" collapsed="false">
      <c r="A95" s="5"/>
      <c r="B95" s="5"/>
      <c r="C95" s="5"/>
      <c r="D95" s="5" t="str">
        <f aca="false">IF(C95="","",VLOOKUP(C95,PRECIOS!A:B,2,FALSE()))</f>
        <v/>
      </c>
      <c r="E95" s="5" t="str">
        <f aca="false">IF(C95="","",VLOOKUP(C95,PRECIOS!A:C,3,FALSE()))</f>
        <v/>
      </c>
      <c r="F95" s="5" t="str">
        <f aca="false">IF(C95="","",VLOOKUP(C95,PRECIOS!A:D,4,FALSE()))</f>
        <v/>
      </c>
      <c r="G95" s="5" t="str">
        <f aca="false">IF(C95="","",F95*0.2)</f>
        <v/>
      </c>
      <c r="H95" s="5" t="str">
        <f aca="false">IF(C95="","",F95*0.8)</f>
        <v/>
      </c>
    </row>
    <row r="96" customFormat="false" ht="15.75" hidden="false" customHeight="true" outlineLevel="0" collapsed="false">
      <c r="A96" s="5"/>
      <c r="B96" s="5"/>
      <c r="C96" s="5"/>
      <c r="D96" s="5" t="str">
        <f aca="false">IF(C96="","",VLOOKUP(C96,PRECIOS!A:B,2,FALSE()))</f>
        <v/>
      </c>
      <c r="E96" s="5" t="str">
        <f aca="false">IF(C96="","",VLOOKUP(C96,PRECIOS!A:C,3,FALSE()))</f>
        <v/>
      </c>
      <c r="F96" s="5" t="str">
        <f aca="false">IF(C96="","",VLOOKUP(C96,PRECIOS!A:D,4,FALSE()))</f>
        <v/>
      </c>
      <c r="G96" s="5" t="str">
        <f aca="false">IF(C96="","",F96*0.2)</f>
        <v/>
      </c>
      <c r="H96" s="5" t="str">
        <f aca="false">IF(C96="","",F96*0.8)</f>
        <v/>
      </c>
    </row>
    <row r="97" customFormat="false" ht="15.75" hidden="false" customHeight="true" outlineLevel="0" collapsed="false">
      <c r="A97" s="5"/>
      <c r="B97" s="5"/>
      <c r="C97" s="5"/>
      <c r="D97" s="5" t="str">
        <f aca="false">IF(C97="","",VLOOKUP(C97,PRECIOS!A:B,2,FALSE()))</f>
        <v/>
      </c>
      <c r="E97" s="5" t="str">
        <f aca="false">IF(C97="","",VLOOKUP(C97,PRECIOS!A:C,3,FALSE()))</f>
        <v/>
      </c>
      <c r="F97" s="5" t="str">
        <f aca="false">IF(C97="","",VLOOKUP(C97,PRECIOS!A:D,4,FALSE()))</f>
        <v/>
      </c>
      <c r="G97" s="5" t="str">
        <f aca="false">IF(C97="","",F97*0.2)</f>
        <v/>
      </c>
      <c r="H97" s="5" t="str">
        <f aca="false">IF(C97="","",F97*0.8)</f>
        <v/>
      </c>
    </row>
    <row r="98" customFormat="false" ht="15.75" hidden="false" customHeight="true" outlineLevel="0" collapsed="false">
      <c r="A98" s="5"/>
      <c r="B98" s="5"/>
      <c r="C98" s="5"/>
      <c r="D98" s="5" t="str">
        <f aca="false">IF(C98="","",VLOOKUP(C98,PRECIOS!A:B,2,FALSE()))</f>
        <v/>
      </c>
      <c r="E98" s="5" t="str">
        <f aca="false">IF(C98="","",VLOOKUP(C98,PRECIOS!A:C,3,FALSE()))</f>
        <v/>
      </c>
      <c r="F98" s="5" t="str">
        <f aca="false">IF(C98="","",VLOOKUP(C98,PRECIOS!A:D,4,FALSE()))</f>
        <v/>
      </c>
      <c r="G98" s="5" t="str">
        <f aca="false">IF(C98="","",F98*0.2)</f>
        <v/>
      </c>
      <c r="H98" s="5" t="str">
        <f aca="false">IF(C98="","",F98*0.8)</f>
        <v/>
      </c>
    </row>
    <row r="99" customFormat="false" ht="15.75" hidden="false" customHeight="true" outlineLevel="0" collapsed="false">
      <c r="A99" s="5"/>
      <c r="B99" s="5"/>
      <c r="C99" s="5"/>
      <c r="D99" s="5" t="str">
        <f aca="false">IF(C99="","",VLOOKUP(C99,PRECIOS!A:B,2,FALSE()))</f>
        <v/>
      </c>
      <c r="E99" s="5" t="str">
        <f aca="false">IF(C99="","",VLOOKUP(C99,PRECIOS!A:C,3,FALSE()))</f>
        <v/>
      </c>
      <c r="F99" s="5" t="str">
        <f aca="false">IF(C99="","",VLOOKUP(C99,PRECIOS!A:D,4,FALSE()))</f>
        <v/>
      </c>
      <c r="G99" s="5" t="str">
        <f aca="false">IF(C99="","",F99*0.2)</f>
        <v/>
      </c>
      <c r="H99" s="5" t="str">
        <f aca="false">IF(C99="","",F99*0.8)</f>
        <v/>
      </c>
    </row>
    <row r="100" customFormat="false" ht="15.75" hidden="false" customHeight="true" outlineLevel="0" collapsed="false">
      <c r="A100" s="5"/>
      <c r="B100" s="5"/>
      <c r="C100" s="5"/>
      <c r="D100" s="5" t="str">
        <f aca="false">IF(C100="","",VLOOKUP(C100,PRECIOS!A:B,2,FALSE()))</f>
        <v/>
      </c>
      <c r="E100" s="5" t="str">
        <f aca="false">IF(C100="","",VLOOKUP(C100,PRECIOS!A:C,3,FALSE()))</f>
        <v/>
      </c>
      <c r="F100" s="5" t="str">
        <f aca="false">IF(C100="","",VLOOKUP(C100,PRECIOS!A:D,4,FALSE()))</f>
        <v/>
      </c>
      <c r="G100" s="5" t="str">
        <f aca="false">IF(C100="","",F100*0.2)</f>
        <v/>
      </c>
      <c r="H100" s="5" t="str">
        <f aca="false">IF(C100="","",F100*0.8)</f>
        <v/>
      </c>
    </row>
  </sheetData>
  <dataValidations count="1">
    <dataValidation allowBlank="true" errorStyle="stop" operator="between" showDropDown="false" showErrorMessage="true" showInputMessage="false" sqref="C2:C6 C8:C11 C13:C100" type="list">
      <formula1>PRECIOS!$I$1:$I$48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J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265625" defaultRowHeight="15.75" customHeight="true" zeroHeight="false" outlineLevelRow="0" outlineLevelCol="0"/>
  <cols>
    <col collapsed="false" customWidth="true" hidden="false" outlineLevel="0" max="1" min="1" style="1" width="18.89"/>
    <col collapsed="false" customWidth="true" hidden="false" outlineLevel="0" max="2" min="2" style="1" width="17"/>
    <col collapsed="false" customWidth="true" hidden="false" outlineLevel="0" max="4" min="4" style="1" width="21.89"/>
    <col collapsed="false" customWidth="true" hidden="false" outlineLevel="0" max="5" min="5" style="1" width="21.11"/>
    <col collapsed="false" customWidth="true" hidden="false" outlineLevel="0" max="8" min="8" style="1" width="5.22"/>
    <col collapsed="false" customWidth="true" hidden="false" outlineLevel="0" max="9" min="9" style="1" width="18.22"/>
    <col collapsed="false" customWidth="true" hidden="false" outlineLevel="0" max="10" min="10" style="1" width="15.56"/>
  </cols>
  <sheetData>
    <row r="1" customFormat="false" ht="41.25" hidden="false" customHeight="true" outlineLevel="0" collapsed="false">
      <c r="A1" s="10" t="s">
        <v>8</v>
      </c>
      <c r="B1" s="10" t="s">
        <v>3</v>
      </c>
      <c r="C1" s="10" t="s">
        <v>4</v>
      </c>
      <c r="D1" s="10" t="s">
        <v>9</v>
      </c>
      <c r="E1" s="10" t="s">
        <v>10</v>
      </c>
      <c r="F1" s="10" t="s">
        <v>11</v>
      </c>
      <c r="I1" s="11" t="s">
        <v>12</v>
      </c>
      <c r="J1" s="11" t="n">
        <v>0</v>
      </c>
    </row>
    <row r="2" customFormat="false" ht="15.75" hidden="false" customHeight="true" outlineLevel="0" collapsed="false">
      <c r="A2" s="12" t="s">
        <v>12</v>
      </c>
      <c r="B2" s="12" t="s">
        <v>12</v>
      </c>
      <c r="C2" s="6" t="n">
        <v>0</v>
      </c>
      <c r="D2" s="13" t="n">
        <v>0</v>
      </c>
      <c r="E2" s="6" t="n">
        <v>0</v>
      </c>
      <c r="F2" s="6" t="n">
        <v>0</v>
      </c>
      <c r="I2" s="14" t="s">
        <v>13</v>
      </c>
      <c r="J2" s="15" t="n">
        <v>18750</v>
      </c>
    </row>
    <row r="3" customFormat="false" ht="15.75" hidden="false" customHeight="true" outlineLevel="0" collapsed="false">
      <c r="A3" s="12" t="s">
        <v>13</v>
      </c>
      <c r="B3" s="12" t="s">
        <v>13</v>
      </c>
      <c r="C3" s="6" t="n">
        <f aca="false">D3/1.25</f>
        <v>15000</v>
      </c>
      <c r="D3" s="13" t="n">
        <v>18750</v>
      </c>
      <c r="E3" s="6" t="n">
        <f aca="false">D3-C3</f>
        <v>3750</v>
      </c>
      <c r="F3" s="6" t="n">
        <f aca="false">D3-E3</f>
        <v>15000</v>
      </c>
      <c r="I3" s="14" t="s">
        <v>14</v>
      </c>
      <c r="J3" s="15" t="n">
        <v>18750</v>
      </c>
    </row>
    <row r="4" customFormat="false" ht="15.75" hidden="false" customHeight="true" outlineLevel="0" collapsed="false">
      <c r="A4" s="12" t="s">
        <v>14</v>
      </c>
      <c r="B4" s="12" t="s">
        <v>14</v>
      </c>
      <c r="C4" s="6" t="n">
        <f aca="false">D4/1.25</f>
        <v>15000</v>
      </c>
      <c r="D4" s="13" t="n">
        <v>18750</v>
      </c>
      <c r="E4" s="6" t="n">
        <f aca="false">D4-C4</f>
        <v>3750</v>
      </c>
      <c r="F4" s="6" t="n">
        <f aca="false">D4-E4</f>
        <v>15000</v>
      </c>
      <c r="I4" s="14" t="s">
        <v>15</v>
      </c>
      <c r="J4" s="15" t="n">
        <v>22500</v>
      </c>
    </row>
    <row r="5" customFormat="false" ht="15.75" hidden="false" customHeight="true" outlineLevel="0" collapsed="false">
      <c r="A5" s="12" t="s">
        <v>15</v>
      </c>
      <c r="B5" s="12" t="s">
        <v>15</v>
      </c>
      <c r="C5" s="6" t="n">
        <f aca="false">D5/1.25</f>
        <v>18000</v>
      </c>
      <c r="D5" s="13" t="n">
        <v>22500</v>
      </c>
      <c r="E5" s="6" t="n">
        <f aca="false">D5-C5</f>
        <v>4500</v>
      </c>
      <c r="F5" s="6" t="n">
        <f aca="false">D5-E5</f>
        <v>18000</v>
      </c>
      <c r="I5" s="14" t="s">
        <v>16</v>
      </c>
      <c r="J5" s="15" t="n">
        <v>31250</v>
      </c>
    </row>
    <row r="6" customFormat="false" ht="15.75" hidden="false" customHeight="true" outlineLevel="0" collapsed="false">
      <c r="A6" s="12" t="s">
        <v>16</v>
      </c>
      <c r="B6" s="12" t="s">
        <v>16</v>
      </c>
      <c r="C6" s="6" t="n">
        <f aca="false">D6/1.25</f>
        <v>25000</v>
      </c>
      <c r="D6" s="13" t="n">
        <v>31250</v>
      </c>
      <c r="E6" s="6" t="n">
        <f aca="false">D6-C6</f>
        <v>6250</v>
      </c>
      <c r="F6" s="6" t="n">
        <f aca="false">D6-E6</f>
        <v>25000</v>
      </c>
      <c r="I6" s="14" t="s">
        <v>17</v>
      </c>
      <c r="J6" s="15" t="n">
        <v>43750</v>
      </c>
    </row>
    <row r="7" customFormat="false" ht="15.75" hidden="false" customHeight="true" outlineLevel="0" collapsed="false">
      <c r="A7" s="12" t="s">
        <v>17</v>
      </c>
      <c r="B7" s="12" t="s">
        <v>17</v>
      </c>
      <c r="C7" s="6" t="n">
        <f aca="false">D7/1.25</f>
        <v>35000</v>
      </c>
      <c r="D7" s="13" t="n">
        <v>43750</v>
      </c>
      <c r="E7" s="6" t="n">
        <f aca="false">D7-C7</f>
        <v>8750</v>
      </c>
      <c r="F7" s="6" t="n">
        <f aca="false">D7-E7</f>
        <v>35000</v>
      </c>
      <c r="I7" s="14" t="s">
        <v>18</v>
      </c>
      <c r="J7" s="15" t="n">
        <v>47500</v>
      </c>
    </row>
    <row r="8" customFormat="false" ht="15.75" hidden="false" customHeight="true" outlineLevel="0" collapsed="false">
      <c r="A8" s="12" t="s">
        <v>18</v>
      </c>
      <c r="B8" s="12" t="s">
        <v>18</v>
      </c>
      <c r="C8" s="6" t="n">
        <f aca="false">D8/1.25</f>
        <v>38000</v>
      </c>
      <c r="D8" s="13" t="n">
        <v>47500</v>
      </c>
      <c r="E8" s="6" t="n">
        <f aca="false">D8-C8</f>
        <v>9500</v>
      </c>
      <c r="F8" s="6" t="n">
        <f aca="false">D8-E8</f>
        <v>38000</v>
      </c>
      <c r="I8" s="14" t="s">
        <v>19</v>
      </c>
      <c r="J8" s="15" t="n">
        <v>48000</v>
      </c>
    </row>
    <row r="9" customFormat="false" ht="15.75" hidden="false" customHeight="true" outlineLevel="0" collapsed="false">
      <c r="A9" s="12" t="s">
        <v>19</v>
      </c>
      <c r="B9" s="12" t="s">
        <v>19</v>
      </c>
      <c r="C9" s="6" t="n">
        <f aca="false">D9/1.25</f>
        <v>38400</v>
      </c>
      <c r="D9" s="13" t="n">
        <v>48000</v>
      </c>
      <c r="E9" s="6" t="n">
        <f aca="false">D9-C9</f>
        <v>9600</v>
      </c>
      <c r="F9" s="6" t="n">
        <f aca="false">D9-E9</f>
        <v>38400</v>
      </c>
      <c r="I9" s="14" t="s">
        <v>20</v>
      </c>
      <c r="J9" s="15" t="n">
        <v>52500</v>
      </c>
    </row>
    <row r="10" customFormat="false" ht="15.75" hidden="false" customHeight="true" outlineLevel="0" collapsed="false">
      <c r="A10" s="12" t="s">
        <v>20</v>
      </c>
      <c r="B10" s="12" t="s">
        <v>20</v>
      </c>
      <c r="C10" s="6" t="n">
        <f aca="false">D10/1.25</f>
        <v>42000</v>
      </c>
      <c r="D10" s="13" t="n">
        <v>52500</v>
      </c>
      <c r="E10" s="6" t="n">
        <f aca="false">D10-C10</f>
        <v>10500</v>
      </c>
      <c r="F10" s="6" t="n">
        <f aca="false">D10-E10</f>
        <v>42000</v>
      </c>
      <c r="I10" s="14" t="s">
        <v>21</v>
      </c>
      <c r="J10" s="15" t="n">
        <v>56250</v>
      </c>
    </row>
    <row r="11" customFormat="false" ht="15.75" hidden="false" customHeight="true" outlineLevel="0" collapsed="false">
      <c r="A11" s="12" t="s">
        <v>21</v>
      </c>
      <c r="B11" s="12" t="s">
        <v>21</v>
      </c>
      <c r="C11" s="6" t="n">
        <f aca="false">D11/1.25</f>
        <v>45000</v>
      </c>
      <c r="D11" s="13" t="n">
        <v>56250</v>
      </c>
      <c r="E11" s="6" t="n">
        <f aca="false">D11-C11</f>
        <v>11250</v>
      </c>
      <c r="F11" s="6" t="n">
        <f aca="false">D11-E11</f>
        <v>45000</v>
      </c>
      <c r="I11" s="14" t="s">
        <v>22</v>
      </c>
      <c r="J11" s="15" t="n">
        <v>68750</v>
      </c>
    </row>
    <row r="12" customFormat="false" ht="15.75" hidden="false" customHeight="true" outlineLevel="0" collapsed="false">
      <c r="A12" s="12" t="s">
        <v>22</v>
      </c>
      <c r="B12" s="12" t="s">
        <v>22</v>
      </c>
      <c r="C12" s="6" t="n">
        <f aca="false">D12/1.25</f>
        <v>55000</v>
      </c>
      <c r="D12" s="13" t="n">
        <v>68750</v>
      </c>
      <c r="E12" s="6" t="n">
        <f aca="false">D12-C12</f>
        <v>13750</v>
      </c>
      <c r="F12" s="6" t="n">
        <f aca="false">D12-E12</f>
        <v>55000</v>
      </c>
      <c r="I12" s="14" t="s">
        <v>23</v>
      </c>
      <c r="J12" s="15" t="n">
        <v>68750</v>
      </c>
    </row>
    <row r="13" customFormat="false" ht="15.75" hidden="false" customHeight="true" outlineLevel="0" collapsed="false">
      <c r="A13" s="12" t="s">
        <v>23</v>
      </c>
      <c r="B13" s="12" t="s">
        <v>23</v>
      </c>
      <c r="C13" s="6" t="n">
        <f aca="false">D13/1.25</f>
        <v>55000</v>
      </c>
      <c r="D13" s="13" t="n">
        <v>68750</v>
      </c>
      <c r="E13" s="6" t="n">
        <f aca="false">D13-C13</f>
        <v>13750</v>
      </c>
      <c r="F13" s="6" t="n">
        <f aca="false">D13-E13</f>
        <v>55000</v>
      </c>
      <c r="I13" s="14" t="s">
        <v>24</v>
      </c>
      <c r="J13" s="15" t="n">
        <v>68750</v>
      </c>
    </row>
    <row r="14" customFormat="false" ht="15.75" hidden="false" customHeight="true" outlineLevel="0" collapsed="false">
      <c r="A14" s="12" t="s">
        <v>24</v>
      </c>
      <c r="B14" s="12" t="s">
        <v>24</v>
      </c>
      <c r="C14" s="6" t="n">
        <f aca="false">D14/1.25</f>
        <v>55000</v>
      </c>
      <c r="D14" s="13" t="n">
        <v>68750</v>
      </c>
      <c r="E14" s="6" t="n">
        <f aca="false">D14-C14</f>
        <v>13750</v>
      </c>
      <c r="F14" s="6" t="n">
        <f aca="false">D14-E14</f>
        <v>55000</v>
      </c>
      <c r="I14" s="14" t="s">
        <v>25</v>
      </c>
      <c r="J14" s="15" t="n">
        <v>68750</v>
      </c>
    </row>
    <row r="15" customFormat="false" ht="15.75" hidden="false" customHeight="true" outlineLevel="0" collapsed="false">
      <c r="A15" s="12" t="s">
        <v>25</v>
      </c>
      <c r="B15" s="12" t="s">
        <v>25</v>
      </c>
      <c r="C15" s="6" t="n">
        <f aca="false">D15/1.25</f>
        <v>55000</v>
      </c>
      <c r="D15" s="13" t="n">
        <v>68750</v>
      </c>
      <c r="E15" s="6" t="n">
        <f aca="false">D15-C15</f>
        <v>13750</v>
      </c>
      <c r="F15" s="6" t="n">
        <f aca="false">D15-E15</f>
        <v>55000</v>
      </c>
      <c r="I15" s="14" t="s">
        <v>26</v>
      </c>
      <c r="J15" s="15" t="n">
        <v>72500</v>
      </c>
    </row>
    <row r="16" customFormat="false" ht="15.75" hidden="false" customHeight="true" outlineLevel="0" collapsed="false">
      <c r="A16" s="12" t="s">
        <v>26</v>
      </c>
      <c r="B16" s="12" t="s">
        <v>26</v>
      </c>
      <c r="C16" s="6" t="n">
        <f aca="false">D16/1.25</f>
        <v>58000</v>
      </c>
      <c r="D16" s="13" t="n">
        <v>72500</v>
      </c>
      <c r="E16" s="6" t="n">
        <f aca="false">D16-C16</f>
        <v>14500</v>
      </c>
      <c r="F16" s="6" t="n">
        <f aca="false">D16-E16</f>
        <v>58000</v>
      </c>
      <c r="I16" s="14" t="s">
        <v>27</v>
      </c>
      <c r="J16" s="15" t="n">
        <v>72500</v>
      </c>
    </row>
    <row r="17" customFormat="false" ht="15.75" hidden="false" customHeight="true" outlineLevel="0" collapsed="false">
      <c r="A17" s="12" t="s">
        <v>27</v>
      </c>
      <c r="B17" s="12" t="s">
        <v>27</v>
      </c>
      <c r="C17" s="6" t="n">
        <f aca="false">D17/1.25</f>
        <v>58000</v>
      </c>
      <c r="D17" s="13" t="n">
        <v>72500</v>
      </c>
      <c r="E17" s="6" t="n">
        <f aca="false">D17-C17</f>
        <v>14500</v>
      </c>
      <c r="F17" s="6" t="n">
        <f aca="false">D17-E17</f>
        <v>58000</v>
      </c>
      <c r="I17" s="14" t="s">
        <v>28</v>
      </c>
      <c r="J17" s="15" t="n">
        <v>75000</v>
      </c>
    </row>
    <row r="18" customFormat="false" ht="15.75" hidden="false" customHeight="true" outlineLevel="0" collapsed="false">
      <c r="A18" s="12" t="s">
        <v>28</v>
      </c>
      <c r="B18" s="12" t="s">
        <v>28</v>
      </c>
      <c r="C18" s="6" t="n">
        <f aca="false">D18/1.25</f>
        <v>60000</v>
      </c>
      <c r="D18" s="13" t="n">
        <v>75000</v>
      </c>
      <c r="E18" s="6" t="n">
        <f aca="false">D18-C18</f>
        <v>15000</v>
      </c>
      <c r="F18" s="6" t="n">
        <f aca="false">D18-E18</f>
        <v>60000</v>
      </c>
      <c r="I18" s="14" t="s">
        <v>29</v>
      </c>
      <c r="J18" s="15" t="n">
        <v>81250</v>
      </c>
    </row>
    <row r="19" customFormat="false" ht="15.75" hidden="false" customHeight="true" outlineLevel="0" collapsed="false">
      <c r="A19" s="12" t="s">
        <v>29</v>
      </c>
      <c r="B19" s="12" t="s">
        <v>29</v>
      </c>
      <c r="C19" s="6" t="n">
        <f aca="false">D19/1.25</f>
        <v>65000</v>
      </c>
      <c r="D19" s="13" t="n">
        <v>81250</v>
      </c>
      <c r="E19" s="6" t="n">
        <f aca="false">D19-C19</f>
        <v>16250</v>
      </c>
      <c r="F19" s="6" t="n">
        <f aca="false">D19-E19</f>
        <v>65000</v>
      </c>
      <c r="I19" s="14" t="s">
        <v>30</v>
      </c>
      <c r="J19" s="15" t="n">
        <v>81250</v>
      </c>
    </row>
    <row r="20" customFormat="false" ht="15.75" hidden="false" customHeight="true" outlineLevel="0" collapsed="false">
      <c r="A20" s="12" t="s">
        <v>30</v>
      </c>
      <c r="B20" s="12" t="s">
        <v>30</v>
      </c>
      <c r="C20" s="6" t="n">
        <f aca="false">D20/1.25</f>
        <v>65000</v>
      </c>
      <c r="D20" s="13" t="n">
        <v>81250</v>
      </c>
      <c r="E20" s="6" t="n">
        <f aca="false">D20-C20</f>
        <v>16250</v>
      </c>
      <c r="F20" s="6" t="n">
        <f aca="false">D20-E20</f>
        <v>65000</v>
      </c>
      <c r="I20" s="14" t="s">
        <v>31</v>
      </c>
      <c r="J20" s="15" t="n">
        <v>81250</v>
      </c>
    </row>
    <row r="21" customFormat="false" ht="15.75" hidden="false" customHeight="true" outlineLevel="0" collapsed="false">
      <c r="A21" s="12" t="s">
        <v>31</v>
      </c>
      <c r="B21" s="12" t="s">
        <v>31</v>
      </c>
      <c r="C21" s="6" t="n">
        <f aca="false">D21/1.25</f>
        <v>65000</v>
      </c>
      <c r="D21" s="13" t="n">
        <v>81250</v>
      </c>
      <c r="E21" s="6" t="n">
        <f aca="false">D21-C21</f>
        <v>16250</v>
      </c>
      <c r="F21" s="6" t="n">
        <f aca="false">D21-E21</f>
        <v>65000</v>
      </c>
      <c r="I21" s="14" t="s">
        <v>32</v>
      </c>
      <c r="J21" s="15" t="n">
        <v>81250</v>
      </c>
    </row>
    <row r="22" customFormat="false" ht="15.75" hidden="false" customHeight="true" outlineLevel="0" collapsed="false">
      <c r="A22" s="12" t="s">
        <v>32</v>
      </c>
      <c r="B22" s="12" t="s">
        <v>32</v>
      </c>
      <c r="C22" s="6" t="n">
        <f aca="false">D22/1.25</f>
        <v>65000</v>
      </c>
      <c r="D22" s="13" t="n">
        <v>81250</v>
      </c>
      <c r="E22" s="6" t="n">
        <f aca="false">D22-C22</f>
        <v>16250</v>
      </c>
      <c r="F22" s="6" t="n">
        <f aca="false">D22-E22</f>
        <v>65000</v>
      </c>
      <c r="I22" s="14" t="s">
        <v>33</v>
      </c>
      <c r="J22" s="15" t="n">
        <v>81250</v>
      </c>
    </row>
    <row r="23" customFormat="false" ht="15.75" hidden="false" customHeight="true" outlineLevel="0" collapsed="false">
      <c r="A23" s="12" t="s">
        <v>33</v>
      </c>
      <c r="B23" s="12" t="s">
        <v>33</v>
      </c>
      <c r="C23" s="6" t="n">
        <f aca="false">D23/1.25</f>
        <v>65000</v>
      </c>
      <c r="D23" s="13" t="n">
        <v>81250</v>
      </c>
      <c r="E23" s="6" t="n">
        <f aca="false">D23-C23</f>
        <v>16250</v>
      </c>
      <c r="F23" s="6" t="n">
        <f aca="false">D23-E23</f>
        <v>65000</v>
      </c>
      <c r="I23" s="14" t="s">
        <v>34</v>
      </c>
      <c r="J23" s="15" t="n">
        <v>81250</v>
      </c>
    </row>
    <row r="24" customFormat="false" ht="15.75" hidden="false" customHeight="true" outlineLevel="0" collapsed="false">
      <c r="A24" s="12" t="s">
        <v>34</v>
      </c>
      <c r="B24" s="12" t="s">
        <v>34</v>
      </c>
      <c r="C24" s="6" t="n">
        <f aca="false">D24/1.25</f>
        <v>65000</v>
      </c>
      <c r="D24" s="13" t="n">
        <v>81250</v>
      </c>
      <c r="E24" s="6" t="n">
        <f aca="false">D24-C24</f>
        <v>16250</v>
      </c>
      <c r="F24" s="6" t="n">
        <f aca="false">D24-E24</f>
        <v>65000</v>
      </c>
      <c r="I24" s="14" t="s">
        <v>35</v>
      </c>
      <c r="J24" s="15" t="n">
        <v>81250</v>
      </c>
    </row>
    <row r="25" customFormat="false" ht="15.75" hidden="false" customHeight="true" outlineLevel="0" collapsed="false">
      <c r="A25" s="12" t="s">
        <v>35</v>
      </c>
      <c r="B25" s="12" t="s">
        <v>35</v>
      </c>
      <c r="C25" s="6" t="n">
        <f aca="false">D25/1.25</f>
        <v>65000</v>
      </c>
      <c r="D25" s="13" t="n">
        <v>81250</v>
      </c>
      <c r="E25" s="6" t="n">
        <f aca="false">D25-C25</f>
        <v>16250</v>
      </c>
      <c r="F25" s="6" t="n">
        <f aca="false">D25-E25</f>
        <v>65000</v>
      </c>
      <c r="I25" s="14" t="s">
        <v>36</v>
      </c>
      <c r="J25" s="15" t="n">
        <v>81250</v>
      </c>
    </row>
    <row r="26" customFormat="false" ht="15.75" hidden="false" customHeight="true" outlineLevel="0" collapsed="false">
      <c r="A26" s="12" t="s">
        <v>36</v>
      </c>
      <c r="B26" s="12" t="s">
        <v>36</v>
      </c>
      <c r="C26" s="6" t="n">
        <f aca="false">D26/1.25</f>
        <v>65000</v>
      </c>
      <c r="D26" s="13" t="n">
        <v>81250</v>
      </c>
      <c r="E26" s="6" t="n">
        <f aca="false">D26-C26</f>
        <v>16250</v>
      </c>
      <c r="F26" s="6" t="n">
        <f aca="false">D26-E26</f>
        <v>65000</v>
      </c>
      <c r="I26" s="14" t="s">
        <v>37</v>
      </c>
      <c r="J26" s="15" t="n">
        <v>82000</v>
      </c>
    </row>
    <row r="27" customFormat="false" ht="15.75" hidden="false" customHeight="true" outlineLevel="0" collapsed="false">
      <c r="A27" s="12" t="s">
        <v>37</v>
      </c>
      <c r="B27" s="12" t="s">
        <v>37</v>
      </c>
      <c r="C27" s="6" t="n">
        <f aca="false">D27/1.25</f>
        <v>65600</v>
      </c>
      <c r="D27" s="13" t="n">
        <v>82000</v>
      </c>
      <c r="E27" s="6" t="n">
        <f aca="false">D27-C27</f>
        <v>16400</v>
      </c>
      <c r="F27" s="6" t="n">
        <f aca="false">D27-E27</f>
        <v>65600</v>
      </c>
      <c r="I27" s="14" t="s">
        <v>38</v>
      </c>
      <c r="J27" s="15" t="n">
        <v>82000</v>
      </c>
    </row>
    <row r="28" customFormat="false" ht="15.75" hidden="false" customHeight="true" outlineLevel="0" collapsed="false">
      <c r="A28" s="12" t="s">
        <v>38</v>
      </c>
      <c r="B28" s="12" t="s">
        <v>38</v>
      </c>
      <c r="C28" s="6" t="n">
        <f aca="false">D28/1.25</f>
        <v>65600</v>
      </c>
      <c r="D28" s="13" t="n">
        <v>82000</v>
      </c>
      <c r="E28" s="6" t="n">
        <f aca="false">D28-C28</f>
        <v>16400</v>
      </c>
      <c r="F28" s="6" t="n">
        <f aca="false">D28-E28</f>
        <v>65600</v>
      </c>
      <c r="I28" s="14" t="s">
        <v>39</v>
      </c>
      <c r="J28" s="15" t="n">
        <v>85000</v>
      </c>
    </row>
    <row r="29" customFormat="false" ht="15.75" hidden="false" customHeight="true" outlineLevel="0" collapsed="false">
      <c r="A29" s="12" t="s">
        <v>39</v>
      </c>
      <c r="B29" s="12" t="s">
        <v>39</v>
      </c>
      <c r="C29" s="6" t="n">
        <f aca="false">D29/1.25</f>
        <v>68000</v>
      </c>
      <c r="D29" s="13" t="n">
        <v>85000</v>
      </c>
      <c r="E29" s="6" t="n">
        <f aca="false">D29-C29</f>
        <v>17000</v>
      </c>
      <c r="F29" s="6" t="n">
        <f aca="false">D29-E29</f>
        <v>68000</v>
      </c>
      <c r="I29" s="14" t="s">
        <v>40</v>
      </c>
      <c r="J29" s="15" t="n">
        <v>85000</v>
      </c>
    </row>
    <row r="30" customFormat="false" ht="15.75" hidden="false" customHeight="true" outlineLevel="0" collapsed="false">
      <c r="A30" s="12" t="s">
        <v>40</v>
      </c>
      <c r="B30" s="12" t="s">
        <v>40</v>
      </c>
      <c r="C30" s="6" t="n">
        <f aca="false">D30/1.25</f>
        <v>68000</v>
      </c>
      <c r="D30" s="13" t="n">
        <v>85000</v>
      </c>
      <c r="E30" s="6" t="n">
        <f aca="false">D30-C30</f>
        <v>17000</v>
      </c>
      <c r="F30" s="6" t="n">
        <f aca="false">D30-E30</f>
        <v>68000</v>
      </c>
      <c r="I30" s="14" t="s">
        <v>41</v>
      </c>
      <c r="J30" s="15" t="n">
        <v>85000</v>
      </c>
    </row>
    <row r="31" customFormat="false" ht="15.75" hidden="false" customHeight="true" outlineLevel="0" collapsed="false">
      <c r="A31" s="12" t="s">
        <v>41</v>
      </c>
      <c r="B31" s="12" t="s">
        <v>41</v>
      </c>
      <c r="C31" s="6" t="n">
        <f aca="false">D31/1.25</f>
        <v>68000</v>
      </c>
      <c r="D31" s="13" t="n">
        <v>85000</v>
      </c>
      <c r="E31" s="6" t="n">
        <f aca="false">D31-C31</f>
        <v>17000</v>
      </c>
      <c r="F31" s="6" t="n">
        <f aca="false">D31-E31</f>
        <v>68000</v>
      </c>
      <c r="I31" s="14" t="s">
        <v>42</v>
      </c>
      <c r="J31" s="15" t="n">
        <v>97500</v>
      </c>
    </row>
    <row r="32" customFormat="false" ht="15.75" hidden="false" customHeight="true" outlineLevel="0" collapsed="false">
      <c r="A32" s="12" t="s">
        <v>42</v>
      </c>
      <c r="B32" s="12" t="s">
        <v>42</v>
      </c>
      <c r="C32" s="6" t="n">
        <f aca="false">D32/1.25</f>
        <v>78000</v>
      </c>
      <c r="D32" s="13" t="n">
        <v>97500</v>
      </c>
      <c r="E32" s="6" t="n">
        <f aca="false">D32-C32</f>
        <v>19500</v>
      </c>
      <c r="F32" s="6" t="n">
        <f aca="false">D32-E32</f>
        <v>78000</v>
      </c>
      <c r="I32" s="14" t="s">
        <v>43</v>
      </c>
      <c r="J32" s="15" t="n">
        <v>97500</v>
      </c>
    </row>
    <row r="33" customFormat="false" ht="15.75" hidden="false" customHeight="true" outlineLevel="0" collapsed="false">
      <c r="A33" s="12" t="s">
        <v>43</v>
      </c>
      <c r="B33" s="12" t="s">
        <v>43</v>
      </c>
      <c r="C33" s="6" t="n">
        <f aca="false">D33/1.25</f>
        <v>78000</v>
      </c>
      <c r="D33" s="13" t="n">
        <v>97500</v>
      </c>
      <c r="E33" s="6" t="n">
        <f aca="false">D33-C33</f>
        <v>19500</v>
      </c>
      <c r="F33" s="6" t="n">
        <f aca="false">D33-E33</f>
        <v>78000</v>
      </c>
      <c r="I33" s="14" t="s">
        <v>44</v>
      </c>
      <c r="J33" s="15" t="n">
        <v>97500</v>
      </c>
    </row>
    <row r="34" customFormat="false" ht="15.75" hidden="false" customHeight="true" outlineLevel="0" collapsed="false">
      <c r="A34" s="12" t="s">
        <v>44</v>
      </c>
      <c r="B34" s="12" t="s">
        <v>44</v>
      </c>
      <c r="C34" s="6" t="n">
        <f aca="false">D34/1.25</f>
        <v>78000</v>
      </c>
      <c r="D34" s="13" t="n">
        <v>97500</v>
      </c>
      <c r="E34" s="6" t="n">
        <f aca="false">D34-C34</f>
        <v>19500</v>
      </c>
      <c r="F34" s="6" t="n">
        <f aca="false">D34-E34</f>
        <v>78000</v>
      </c>
      <c r="I34" s="14" t="s">
        <v>45</v>
      </c>
      <c r="J34" s="15" t="n">
        <v>97500</v>
      </c>
    </row>
    <row r="35" customFormat="false" ht="15.75" hidden="false" customHeight="true" outlineLevel="0" collapsed="false">
      <c r="A35" s="12" t="s">
        <v>45</v>
      </c>
      <c r="B35" s="12" t="s">
        <v>45</v>
      </c>
      <c r="C35" s="6" t="n">
        <f aca="false">D35/1.25</f>
        <v>78000</v>
      </c>
      <c r="D35" s="13" t="n">
        <v>97500</v>
      </c>
      <c r="E35" s="6" t="n">
        <f aca="false">D35-C35</f>
        <v>19500</v>
      </c>
      <c r="F35" s="6" t="n">
        <f aca="false">D35-E35</f>
        <v>78000</v>
      </c>
      <c r="I35" s="14" t="s">
        <v>46</v>
      </c>
      <c r="J35" s="15" t="n">
        <v>98000</v>
      </c>
    </row>
    <row r="36" customFormat="false" ht="15.75" hidden="false" customHeight="true" outlineLevel="0" collapsed="false">
      <c r="A36" s="12" t="s">
        <v>46</v>
      </c>
      <c r="B36" s="12" t="s">
        <v>46</v>
      </c>
      <c r="C36" s="6" t="n">
        <f aca="false">D36/1.25</f>
        <v>78400</v>
      </c>
      <c r="D36" s="13" t="n">
        <v>98000</v>
      </c>
      <c r="E36" s="6" t="n">
        <f aca="false">D36-C36</f>
        <v>19600</v>
      </c>
      <c r="F36" s="6" t="n">
        <f aca="false">D36-E36</f>
        <v>78400</v>
      </c>
      <c r="I36" s="14" t="s">
        <v>47</v>
      </c>
      <c r="J36" s="15" t="n">
        <v>98000</v>
      </c>
    </row>
    <row r="37" customFormat="false" ht="15.75" hidden="false" customHeight="true" outlineLevel="0" collapsed="false">
      <c r="A37" s="12" t="s">
        <v>47</v>
      </c>
      <c r="B37" s="12" t="s">
        <v>47</v>
      </c>
      <c r="C37" s="6" t="n">
        <f aca="false">D37/1.25</f>
        <v>78400</v>
      </c>
      <c r="D37" s="13" t="n">
        <v>98000</v>
      </c>
      <c r="E37" s="6" t="n">
        <f aca="false">D37-C37</f>
        <v>19600</v>
      </c>
      <c r="F37" s="6" t="n">
        <f aca="false">D37-E37</f>
        <v>78400</v>
      </c>
      <c r="I37" s="14" t="s">
        <v>48</v>
      </c>
      <c r="J37" s="15" t="n">
        <v>100000</v>
      </c>
    </row>
    <row r="38" customFormat="false" ht="15.75" hidden="false" customHeight="true" outlineLevel="0" collapsed="false">
      <c r="A38" s="12" t="s">
        <v>48</v>
      </c>
      <c r="B38" s="12" t="s">
        <v>48</v>
      </c>
      <c r="C38" s="6" t="n">
        <f aca="false">D38/1.25</f>
        <v>80000</v>
      </c>
      <c r="D38" s="13" t="n">
        <v>100000</v>
      </c>
      <c r="E38" s="6" t="n">
        <f aca="false">D38-C38</f>
        <v>20000</v>
      </c>
      <c r="F38" s="6" t="n">
        <f aca="false">D38-E38</f>
        <v>80000</v>
      </c>
      <c r="I38" s="14" t="s">
        <v>49</v>
      </c>
      <c r="J38" s="15" t="n">
        <v>106250</v>
      </c>
    </row>
    <row r="39" customFormat="false" ht="15.75" hidden="false" customHeight="true" outlineLevel="0" collapsed="false">
      <c r="A39" s="12" t="s">
        <v>49</v>
      </c>
      <c r="B39" s="12" t="s">
        <v>49</v>
      </c>
      <c r="C39" s="6" t="n">
        <f aca="false">D39/1.25</f>
        <v>85000</v>
      </c>
      <c r="D39" s="13" t="n">
        <v>106250</v>
      </c>
      <c r="E39" s="6" t="n">
        <f aca="false">D39-C39</f>
        <v>21250</v>
      </c>
      <c r="F39" s="6" t="n">
        <f aca="false">D39-E39</f>
        <v>85000</v>
      </c>
      <c r="I39" s="14" t="s">
        <v>50</v>
      </c>
      <c r="J39" s="15" t="n">
        <v>106250</v>
      </c>
    </row>
    <row r="40" customFormat="false" ht="15.75" hidden="false" customHeight="true" outlineLevel="0" collapsed="false">
      <c r="A40" s="12" t="s">
        <v>50</v>
      </c>
      <c r="B40" s="12" t="s">
        <v>50</v>
      </c>
      <c r="C40" s="6" t="n">
        <f aca="false">D40/1.25</f>
        <v>85000</v>
      </c>
      <c r="D40" s="13" t="n">
        <v>106250</v>
      </c>
      <c r="E40" s="6" t="n">
        <f aca="false">D40-C40</f>
        <v>21250</v>
      </c>
      <c r="F40" s="6" t="n">
        <f aca="false">D40-E40</f>
        <v>85000</v>
      </c>
      <c r="I40" s="14" t="s">
        <v>51</v>
      </c>
      <c r="J40" s="15" t="n">
        <v>106250</v>
      </c>
    </row>
    <row r="41" customFormat="false" ht="15.75" hidden="false" customHeight="true" outlineLevel="0" collapsed="false">
      <c r="A41" s="12" t="s">
        <v>51</v>
      </c>
      <c r="B41" s="12" t="s">
        <v>51</v>
      </c>
      <c r="C41" s="6" t="n">
        <f aca="false">D41/1.25</f>
        <v>85000</v>
      </c>
      <c r="D41" s="13" t="n">
        <v>106250</v>
      </c>
      <c r="E41" s="6" t="n">
        <f aca="false">D41-C41</f>
        <v>21250</v>
      </c>
      <c r="F41" s="6" t="n">
        <f aca="false">D41-E41</f>
        <v>85000</v>
      </c>
      <c r="I41" s="14" t="s">
        <v>52</v>
      </c>
      <c r="J41" s="15" t="n">
        <v>110000</v>
      </c>
    </row>
    <row r="42" customFormat="false" ht="15.75" hidden="false" customHeight="true" outlineLevel="0" collapsed="false">
      <c r="A42" s="12" t="s">
        <v>52</v>
      </c>
      <c r="B42" s="12" t="s">
        <v>52</v>
      </c>
      <c r="C42" s="6" t="n">
        <f aca="false">D42/1.25</f>
        <v>88000</v>
      </c>
      <c r="D42" s="13" t="n">
        <v>110000</v>
      </c>
      <c r="E42" s="6" t="n">
        <f aca="false">D42-C42</f>
        <v>22000</v>
      </c>
      <c r="F42" s="6" t="n">
        <f aca="false">D42-E42</f>
        <v>88000</v>
      </c>
      <c r="I42" s="14" t="s">
        <v>53</v>
      </c>
      <c r="J42" s="15" t="n">
        <v>110000</v>
      </c>
    </row>
    <row r="43" customFormat="false" ht="15.75" hidden="false" customHeight="true" outlineLevel="0" collapsed="false">
      <c r="A43" s="12" t="s">
        <v>53</v>
      </c>
      <c r="B43" s="12" t="s">
        <v>53</v>
      </c>
      <c r="C43" s="6" t="n">
        <f aca="false">D43/1.25</f>
        <v>88000</v>
      </c>
      <c r="D43" s="13" t="n">
        <v>110000</v>
      </c>
      <c r="E43" s="6" t="n">
        <f aca="false">D43-C43</f>
        <v>22000</v>
      </c>
      <c r="F43" s="6" t="n">
        <f aca="false">D43-E43</f>
        <v>88000</v>
      </c>
      <c r="I43" s="14" t="s">
        <v>54</v>
      </c>
      <c r="J43" s="15" t="n">
        <v>111250</v>
      </c>
    </row>
    <row r="44" customFormat="false" ht="15.75" hidden="false" customHeight="true" outlineLevel="0" collapsed="false">
      <c r="A44" s="12" t="s">
        <v>54</v>
      </c>
      <c r="B44" s="12" t="s">
        <v>54</v>
      </c>
      <c r="C44" s="6" t="n">
        <f aca="false">D44/1.25</f>
        <v>89000</v>
      </c>
      <c r="D44" s="13" t="n">
        <v>111250</v>
      </c>
      <c r="E44" s="6" t="n">
        <f aca="false">D44-C44</f>
        <v>22250</v>
      </c>
      <c r="F44" s="6" t="n">
        <f aca="false">D44-E44</f>
        <v>89000</v>
      </c>
      <c r="I44" s="14" t="s">
        <v>55</v>
      </c>
      <c r="J44" s="15" t="n">
        <v>118750</v>
      </c>
    </row>
    <row r="45" customFormat="false" ht="15.75" hidden="false" customHeight="true" outlineLevel="0" collapsed="false">
      <c r="A45" s="12" t="s">
        <v>55</v>
      </c>
      <c r="B45" s="12" t="s">
        <v>55</v>
      </c>
      <c r="C45" s="6" t="n">
        <f aca="false">D45/1.25</f>
        <v>95000</v>
      </c>
      <c r="D45" s="13" t="n">
        <v>118750</v>
      </c>
      <c r="E45" s="6" t="n">
        <f aca="false">D45-C45</f>
        <v>23750</v>
      </c>
      <c r="F45" s="6" t="n">
        <f aca="false">D45-E45</f>
        <v>95000</v>
      </c>
      <c r="I45" s="14" t="s">
        <v>56</v>
      </c>
      <c r="J45" s="15" t="n">
        <v>118750</v>
      </c>
    </row>
    <row r="46" customFormat="false" ht="15.75" hidden="false" customHeight="true" outlineLevel="0" collapsed="false">
      <c r="A46" s="12" t="s">
        <v>56</v>
      </c>
      <c r="B46" s="12" t="s">
        <v>56</v>
      </c>
      <c r="C46" s="6" t="n">
        <f aca="false">D46/1.25</f>
        <v>95000</v>
      </c>
      <c r="D46" s="13" t="n">
        <v>118750</v>
      </c>
      <c r="E46" s="6" t="n">
        <f aca="false">D46-C46</f>
        <v>23750</v>
      </c>
      <c r="F46" s="6" t="n">
        <f aca="false">D46-E46</f>
        <v>95000</v>
      </c>
      <c r="I46" s="14" t="s">
        <v>57</v>
      </c>
      <c r="J46" s="15" t="n">
        <v>118750</v>
      </c>
    </row>
    <row r="47" customFormat="false" ht="15.75" hidden="false" customHeight="true" outlineLevel="0" collapsed="false">
      <c r="A47" s="12" t="s">
        <v>57</v>
      </c>
      <c r="B47" s="12" t="s">
        <v>57</v>
      </c>
      <c r="C47" s="6" t="n">
        <f aca="false">D47/1.25</f>
        <v>95000</v>
      </c>
      <c r="D47" s="13" t="n">
        <v>118750</v>
      </c>
      <c r="E47" s="6" t="n">
        <f aca="false">D47-C47</f>
        <v>23750</v>
      </c>
      <c r="F47" s="6" t="n">
        <f aca="false">D47-E47</f>
        <v>95000</v>
      </c>
      <c r="I47" s="14" t="s">
        <v>58</v>
      </c>
      <c r="J47" s="15" t="n">
        <v>118750</v>
      </c>
    </row>
    <row r="48" customFormat="false" ht="15.75" hidden="false" customHeight="true" outlineLevel="0" collapsed="false">
      <c r="A48" s="12" t="s">
        <v>58</v>
      </c>
      <c r="B48" s="12" t="s">
        <v>58</v>
      </c>
      <c r="C48" s="6" t="n">
        <f aca="false">D48/1.25</f>
        <v>95000</v>
      </c>
      <c r="D48" s="13" t="n">
        <v>118750</v>
      </c>
      <c r="E48" s="6" t="n">
        <f aca="false">D48-C48</f>
        <v>23750</v>
      </c>
      <c r="F48" s="6" t="n">
        <f aca="false">D48-E48</f>
        <v>95000</v>
      </c>
      <c r="I48" s="14" t="s">
        <v>59</v>
      </c>
      <c r="J48" s="15" t="n">
        <v>118750</v>
      </c>
    </row>
    <row r="49" customFormat="false" ht="15.75" hidden="false" customHeight="true" outlineLevel="0" collapsed="false">
      <c r="A49" s="12" t="s">
        <v>59</v>
      </c>
      <c r="B49" s="12" t="s">
        <v>59</v>
      </c>
      <c r="C49" s="6" t="n">
        <f aca="false">D49/1.25</f>
        <v>95000</v>
      </c>
      <c r="D49" s="13" t="n">
        <v>118750</v>
      </c>
      <c r="E49" s="6" t="n">
        <f aca="false">D49-C49</f>
        <v>23750</v>
      </c>
      <c r="F49" s="6" t="n">
        <f aca="false">D49-E49</f>
        <v>95000</v>
      </c>
      <c r="I49" s="16" t="s">
        <v>60</v>
      </c>
      <c r="J49" s="15" t="n">
        <v>119000</v>
      </c>
    </row>
    <row r="50" customFormat="false" ht="15.75" hidden="false" customHeight="true" outlineLevel="0" collapsed="false">
      <c r="A50" s="12" t="s">
        <v>60</v>
      </c>
      <c r="B50" s="12" t="s">
        <v>60</v>
      </c>
      <c r="C50" s="6" t="n">
        <f aca="false">D50/1.25</f>
        <v>95200</v>
      </c>
      <c r="D50" s="13" t="n">
        <v>119000</v>
      </c>
      <c r="E50" s="6" t="n">
        <f aca="false">D50-C50</f>
        <v>23800</v>
      </c>
      <c r="F50" s="6" t="n">
        <f aca="false">D50-E50</f>
        <v>95200</v>
      </c>
      <c r="I50" s="16" t="s">
        <v>61</v>
      </c>
      <c r="J50" s="15" t="n">
        <v>121250</v>
      </c>
    </row>
    <row r="51" customFormat="false" ht="15.75" hidden="false" customHeight="true" outlineLevel="0" collapsed="false">
      <c r="A51" s="12" t="s">
        <v>61</v>
      </c>
      <c r="B51" s="12" t="s">
        <v>61</v>
      </c>
      <c r="C51" s="6" t="n">
        <f aca="false">D51/1.25</f>
        <v>97000</v>
      </c>
      <c r="D51" s="13" t="n">
        <v>121250</v>
      </c>
      <c r="E51" s="6" t="n">
        <f aca="false">D51-C51</f>
        <v>24250</v>
      </c>
      <c r="F51" s="6" t="n">
        <f aca="false">D51-E51</f>
        <v>97000</v>
      </c>
      <c r="I51" s="16" t="s">
        <v>62</v>
      </c>
      <c r="J51" s="15" t="n">
        <v>121250</v>
      </c>
    </row>
    <row r="52" customFormat="false" ht="15.75" hidden="false" customHeight="true" outlineLevel="0" collapsed="false">
      <c r="A52" s="12" t="s">
        <v>62</v>
      </c>
      <c r="B52" s="12" t="s">
        <v>62</v>
      </c>
      <c r="C52" s="6" t="n">
        <f aca="false">D52/1.25</f>
        <v>97000</v>
      </c>
      <c r="D52" s="13" t="n">
        <v>121250</v>
      </c>
      <c r="E52" s="6" t="n">
        <f aca="false">D52-C52</f>
        <v>24250</v>
      </c>
      <c r="F52" s="6" t="n">
        <f aca="false">D52-E52</f>
        <v>97000</v>
      </c>
      <c r="I52" s="16" t="s">
        <v>63</v>
      </c>
      <c r="J52" s="15" t="n">
        <v>122000</v>
      </c>
    </row>
    <row r="53" customFormat="false" ht="15.75" hidden="false" customHeight="true" outlineLevel="0" collapsed="false">
      <c r="A53" s="12" t="s">
        <v>63</v>
      </c>
      <c r="B53" s="12" t="s">
        <v>63</v>
      </c>
      <c r="C53" s="6" t="n">
        <f aca="false">D53/1.25</f>
        <v>97600</v>
      </c>
      <c r="D53" s="13" t="n">
        <v>122000</v>
      </c>
      <c r="E53" s="6" t="n">
        <f aca="false">D53-C53</f>
        <v>24400</v>
      </c>
      <c r="F53" s="6" t="n">
        <f aca="false">D53-E53</f>
        <v>97600</v>
      </c>
      <c r="I53" s="16" t="s">
        <v>64</v>
      </c>
      <c r="J53" s="15" t="n">
        <v>122500</v>
      </c>
    </row>
    <row r="54" customFormat="false" ht="15.75" hidden="false" customHeight="true" outlineLevel="0" collapsed="false">
      <c r="A54" s="12" t="s">
        <v>64</v>
      </c>
      <c r="B54" s="12" t="s">
        <v>64</v>
      </c>
      <c r="C54" s="6" t="n">
        <f aca="false">D54/1.25</f>
        <v>98000</v>
      </c>
      <c r="D54" s="13" t="n">
        <v>122500</v>
      </c>
      <c r="E54" s="6" t="n">
        <f aca="false">D54-C54</f>
        <v>24500</v>
      </c>
      <c r="F54" s="6" t="n">
        <f aca="false">D54-E54</f>
        <v>98000</v>
      </c>
      <c r="I54" s="16" t="s">
        <v>65</v>
      </c>
      <c r="J54" s="15" t="n">
        <v>122500</v>
      </c>
    </row>
    <row r="55" customFormat="false" ht="15.75" hidden="false" customHeight="true" outlineLevel="0" collapsed="false">
      <c r="A55" s="12" t="s">
        <v>65</v>
      </c>
      <c r="B55" s="12" t="s">
        <v>65</v>
      </c>
      <c r="C55" s="6" t="n">
        <f aca="false">D55/1.25</f>
        <v>98000</v>
      </c>
      <c r="D55" s="13" t="n">
        <v>122500</v>
      </c>
      <c r="E55" s="6" t="n">
        <f aca="false">D55-C55</f>
        <v>24500</v>
      </c>
      <c r="F55" s="6" t="n">
        <f aca="false">D55-E55</f>
        <v>98000</v>
      </c>
      <c r="I55" s="16" t="s">
        <v>66</v>
      </c>
      <c r="J55" s="15" t="n">
        <v>122500</v>
      </c>
    </row>
    <row r="56" customFormat="false" ht="15.75" hidden="false" customHeight="true" outlineLevel="0" collapsed="false">
      <c r="A56" s="12" t="s">
        <v>66</v>
      </c>
      <c r="B56" s="12" t="s">
        <v>66</v>
      </c>
      <c r="C56" s="6" t="n">
        <f aca="false">D56/1.25</f>
        <v>98000</v>
      </c>
      <c r="D56" s="13" t="n">
        <v>122500</v>
      </c>
      <c r="E56" s="6" t="n">
        <f aca="false">D56-C56</f>
        <v>24500</v>
      </c>
      <c r="F56" s="6" t="n">
        <f aca="false">D56-E56</f>
        <v>98000</v>
      </c>
      <c r="I56" s="16" t="s">
        <v>67</v>
      </c>
      <c r="J56" s="15" t="n">
        <v>122500</v>
      </c>
    </row>
    <row r="57" customFormat="false" ht="15.75" hidden="false" customHeight="true" outlineLevel="0" collapsed="false">
      <c r="A57" s="12" t="s">
        <v>67</v>
      </c>
      <c r="B57" s="12" t="s">
        <v>67</v>
      </c>
      <c r="C57" s="6" t="n">
        <f aca="false">D57/1.25</f>
        <v>98000</v>
      </c>
      <c r="D57" s="13" t="n">
        <v>122500</v>
      </c>
      <c r="E57" s="6" t="n">
        <f aca="false">D57-C57</f>
        <v>24500</v>
      </c>
      <c r="F57" s="6" t="n">
        <f aca="false">D57-E57</f>
        <v>98000</v>
      </c>
      <c r="I57" s="16" t="s">
        <v>68</v>
      </c>
      <c r="J57" s="15" t="n">
        <v>122500</v>
      </c>
    </row>
    <row r="58" customFormat="false" ht="15.75" hidden="false" customHeight="true" outlineLevel="0" collapsed="false">
      <c r="A58" s="12" t="s">
        <v>68</v>
      </c>
      <c r="B58" s="12" t="s">
        <v>68</v>
      </c>
      <c r="C58" s="6" t="n">
        <f aca="false">D58/1.25</f>
        <v>98000</v>
      </c>
      <c r="D58" s="13" t="n">
        <v>122500</v>
      </c>
      <c r="E58" s="6" t="n">
        <f aca="false">D58-C58</f>
        <v>24500</v>
      </c>
      <c r="F58" s="6" t="n">
        <f aca="false">D58-E58</f>
        <v>98000</v>
      </c>
      <c r="I58" s="16" t="s">
        <v>69</v>
      </c>
      <c r="J58" s="15" t="n">
        <v>125000</v>
      </c>
    </row>
    <row r="59" customFormat="false" ht="15.75" hidden="false" customHeight="true" outlineLevel="0" collapsed="false">
      <c r="A59" s="12" t="s">
        <v>69</v>
      </c>
      <c r="B59" s="12" t="s">
        <v>69</v>
      </c>
      <c r="C59" s="6" t="n">
        <f aca="false">D59/1.25</f>
        <v>100000</v>
      </c>
      <c r="D59" s="13" t="n">
        <v>125000</v>
      </c>
      <c r="E59" s="6" t="n">
        <f aca="false">D59-C59</f>
        <v>25000</v>
      </c>
      <c r="F59" s="6" t="n">
        <f aca="false">D59-E59</f>
        <v>100000</v>
      </c>
      <c r="I59" s="16" t="s">
        <v>70</v>
      </c>
      <c r="J59" s="15" t="n">
        <v>125000</v>
      </c>
    </row>
    <row r="60" customFormat="false" ht="15.75" hidden="false" customHeight="true" outlineLevel="0" collapsed="false">
      <c r="A60" s="12" t="s">
        <v>70</v>
      </c>
      <c r="B60" s="12" t="s">
        <v>70</v>
      </c>
      <c r="C60" s="6" t="n">
        <f aca="false">D60/1.25</f>
        <v>100000</v>
      </c>
      <c r="D60" s="13" t="n">
        <v>125000</v>
      </c>
      <c r="E60" s="6" t="n">
        <f aca="false">D60-C60</f>
        <v>25000</v>
      </c>
      <c r="F60" s="6" t="n">
        <f aca="false">D60-E60</f>
        <v>100000</v>
      </c>
      <c r="I60" s="16" t="s">
        <v>71</v>
      </c>
      <c r="J60" s="15" t="n">
        <v>131250</v>
      </c>
    </row>
    <row r="61" customFormat="false" ht="15.75" hidden="false" customHeight="true" outlineLevel="0" collapsed="false">
      <c r="A61" s="12" t="s">
        <v>71</v>
      </c>
      <c r="B61" s="12" t="s">
        <v>71</v>
      </c>
      <c r="C61" s="6" t="n">
        <f aca="false">D61/1.25</f>
        <v>105000</v>
      </c>
      <c r="D61" s="13" t="n">
        <v>131250</v>
      </c>
      <c r="E61" s="6" t="n">
        <f aca="false">D61-C61</f>
        <v>26250</v>
      </c>
      <c r="F61" s="6" t="n">
        <f aca="false">D61-E61</f>
        <v>105000</v>
      </c>
      <c r="I61" s="16" t="s">
        <v>72</v>
      </c>
      <c r="J61" s="15" t="n">
        <v>131250</v>
      </c>
    </row>
    <row r="62" customFormat="false" ht="15.75" hidden="false" customHeight="true" outlineLevel="0" collapsed="false">
      <c r="A62" s="12" t="s">
        <v>72</v>
      </c>
      <c r="B62" s="12" t="s">
        <v>72</v>
      </c>
      <c r="C62" s="6" t="n">
        <f aca="false">D62/1.25</f>
        <v>105000</v>
      </c>
      <c r="D62" s="13" t="n">
        <v>131250</v>
      </c>
      <c r="E62" s="6" t="n">
        <f aca="false">D62-C62</f>
        <v>26250</v>
      </c>
      <c r="F62" s="6" t="n">
        <f aca="false">D62-E62</f>
        <v>105000</v>
      </c>
      <c r="I62" s="16" t="s">
        <v>73</v>
      </c>
      <c r="J62" s="15" t="n">
        <v>137500</v>
      </c>
    </row>
    <row r="63" customFormat="false" ht="15.75" hidden="false" customHeight="true" outlineLevel="0" collapsed="false">
      <c r="A63" s="12" t="s">
        <v>73</v>
      </c>
      <c r="B63" s="12" t="s">
        <v>73</v>
      </c>
      <c r="C63" s="6" t="n">
        <f aca="false">D63/1.25</f>
        <v>110000</v>
      </c>
      <c r="D63" s="13" t="n">
        <v>137500</v>
      </c>
      <c r="E63" s="6" t="n">
        <f aca="false">D63-C63</f>
        <v>27500</v>
      </c>
      <c r="F63" s="6" t="n">
        <f aca="false">D63-E63</f>
        <v>110000</v>
      </c>
      <c r="I63" s="16" t="s">
        <v>74</v>
      </c>
      <c r="J63" s="15" t="n">
        <v>137500</v>
      </c>
    </row>
    <row r="64" customFormat="false" ht="15.75" hidden="false" customHeight="true" outlineLevel="0" collapsed="false">
      <c r="A64" s="12" t="s">
        <v>74</v>
      </c>
      <c r="B64" s="12" t="s">
        <v>74</v>
      </c>
      <c r="C64" s="6" t="n">
        <f aca="false">D64/1.25</f>
        <v>110000</v>
      </c>
      <c r="D64" s="13" t="n">
        <v>137500</v>
      </c>
      <c r="E64" s="6" t="n">
        <f aca="false">D64-C64</f>
        <v>27500</v>
      </c>
      <c r="F64" s="6" t="n">
        <f aca="false">D64-E64</f>
        <v>110000</v>
      </c>
      <c r="I64" s="16" t="s">
        <v>75</v>
      </c>
      <c r="J64" s="15" t="n">
        <v>137500</v>
      </c>
    </row>
    <row r="65" customFormat="false" ht="15.75" hidden="false" customHeight="true" outlineLevel="0" collapsed="false">
      <c r="A65" s="12" t="s">
        <v>75</v>
      </c>
      <c r="B65" s="12" t="s">
        <v>75</v>
      </c>
      <c r="C65" s="6" t="n">
        <f aca="false">D65/1.25</f>
        <v>110000</v>
      </c>
      <c r="D65" s="13" t="n">
        <v>137500</v>
      </c>
      <c r="E65" s="6" t="n">
        <f aca="false">D65-C65</f>
        <v>27500</v>
      </c>
      <c r="F65" s="6" t="n">
        <f aca="false">D65-E65</f>
        <v>110000</v>
      </c>
      <c r="I65" s="16" t="s">
        <v>76</v>
      </c>
      <c r="J65" s="15" t="n">
        <v>143750</v>
      </c>
    </row>
    <row r="66" customFormat="false" ht="15.75" hidden="false" customHeight="true" outlineLevel="0" collapsed="false">
      <c r="A66" s="12" t="s">
        <v>76</v>
      </c>
      <c r="B66" s="12" t="s">
        <v>76</v>
      </c>
      <c r="C66" s="6" t="n">
        <f aca="false">D66/1.25</f>
        <v>115000</v>
      </c>
      <c r="D66" s="13" t="n">
        <v>143750</v>
      </c>
      <c r="E66" s="6" t="n">
        <f aca="false">D66-C66</f>
        <v>28750</v>
      </c>
      <c r="F66" s="6" t="n">
        <f aca="false">D66-E66</f>
        <v>115000</v>
      </c>
      <c r="I66" s="16" t="s">
        <v>77</v>
      </c>
      <c r="J66" s="15" t="n">
        <v>143750</v>
      </c>
    </row>
    <row r="67" customFormat="false" ht="15.75" hidden="false" customHeight="true" outlineLevel="0" collapsed="false">
      <c r="A67" s="12" t="s">
        <v>77</v>
      </c>
      <c r="B67" s="12" t="s">
        <v>77</v>
      </c>
      <c r="C67" s="6" t="n">
        <f aca="false">D67/1.25</f>
        <v>115000</v>
      </c>
      <c r="D67" s="13" t="n">
        <v>143750</v>
      </c>
      <c r="E67" s="6" t="n">
        <f aca="false">D67-C67</f>
        <v>28750</v>
      </c>
      <c r="F67" s="6" t="n">
        <f aca="false">D67-E67</f>
        <v>115000</v>
      </c>
      <c r="I67" s="16" t="s">
        <v>78</v>
      </c>
      <c r="J67" s="15" t="n">
        <v>143750</v>
      </c>
    </row>
    <row r="68" customFormat="false" ht="15.75" hidden="false" customHeight="true" outlineLevel="0" collapsed="false">
      <c r="A68" s="12" t="s">
        <v>78</v>
      </c>
      <c r="B68" s="12" t="s">
        <v>78</v>
      </c>
      <c r="C68" s="6" t="n">
        <f aca="false">D68/1.25</f>
        <v>115000</v>
      </c>
      <c r="D68" s="13" t="n">
        <v>143750</v>
      </c>
      <c r="E68" s="6" t="n">
        <f aca="false">D68-C68</f>
        <v>28750</v>
      </c>
      <c r="F68" s="6" t="n">
        <f aca="false">D68-E68</f>
        <v>115000</v>
      </c>
      <c r="I68" s="16" t="s">
        <v>79</v>
      </c>
      <c r="J68" s="15" t="n">
        <v>143750</v>
      </c>
    </row>
    <row r="69" customFormat="false" ht="15.75" hidden="false" customHeight="true" outlineLevel="0" collapsed="false">
      <c r="A69" s="12" t="s">
        <v>79</v>
      </c>
      <c r="B69" s="12" t="s">
        <v>79</v>
      </c>
      <c r="C69" s="6" t="n">
        <f aca="false">D69/1.25</f>
        <v>115000</v>
      </c>
      <c r="D69" s="13" t="n">
        <v>143750</v>
      </c>
      <c r="E69" s="6" t="n">
        <f aca="false">D69-C69</f>
        <v>28750</v>
      </c>
      <c r="F69" s="6" t="n">
        <f aca="false">D69-E69</f>
        <v>115000</v>
      </c>
      <c r="I69" s="16" t="s">
        <v>80</v>
      </c>
      <c r="J69" s="15" t="n">
        <v>147500</v>
      </c>
    </row>
    <row r="70" customFormat="false" ht="15.75" hidden="false" customHeight="true" outlineLevel="0" collapsed="false">
      <c r="A70" s="12" t="s">
        <v>80</v>
      </c>
      <c r="B70" s="12" t="s">
        <v>80</v>
      </c>
      <c r="C70" s="6" t="n">
        <f aca="false">D70/1.25</f>
        <v>118000</v>
      </c>
      <c r="D70" s="13" t="n">
        <v>147500</v>
      </c>
      <c r="E70" s="6" t="n">
        <f aca="false">D70-C70</f>
        <v>29500</v>
      </c>
      <c r="F70" s="6" t="n">
        <f aca="false">D70-E70</f>
        <v>118000</v>
      </c>
      <c r="I70" s="16" t="s">
        <v>81</v>
      </c>
      <c r="J70" s="15" t="n">
        <v>150000</v>
      </c>
    </row>
    <row r="71" customFormat="false" ht="15.75" hidden="false" customHeight="true" outlineLevel="0" collapsed="false">
      <c r="A71" s="12" t="s">
        <v>81</v>
      </c>
      <c r="B71" s="12" t="s">
        <v>81</v>
      </c>
      <c r="C71" s="6" t="n">
        <f aca="false">D71/1.25</f>
        <v>120000</v>
      </c>
      <c r="D71" s="13" t="n">
        <v>150000</v>
      </c>
      <c r="E71" s="6" t="n">
        <f aca="false">D71-C71</f>
        <v>30000</v>
      </c>
      <c r="F71" s="6" t="n">
        <f aca="false">D71-E71</f>
        <v>120000</v>
      </c>
      <c r="I71" s="16" t="s">
        <v>82</v>
      </c>
      <c r="J71" s="15" t="n">
        <v>150000</v>
      </c>
    </row>
    <row r="72" customFormat="false" ht="15.75" hidden="false" customHeight="true" outlineLevel="0" collapsed="false">
      <c r="A72" s="12" t="s">
        <v>82</v>
      </c>
      <c r="B72" s="12" t="s">
        <v>82</v>
      </c>
      <c r="C72" s="6" t="n">
        <f aca="false">D72/1.25</f>
        <v>120000</v>
      </c>
      <c r="D72" s="13" t="n">
        <v>150000</v>
      </c>
      <c r="E72" s="6" t="n">
        <f aca="false">D72-C72</f>
        <v>30000</v>
      </c>
      <c r="F72" s="6" t="n">
        <f aca="false">D72-E72</f>
        <v>120000</v>
      </c>
      <c r="I72" s="16" t="s">
        <v>83</v>
      </c>
      <c r="J72" s="15" t="n">
        <v>150000</v>
      </c>
    </row>
    <row r="73" customFormat="false" ht="15.75" hidden="false" customHeight="true" outlineLevel="0" collapsed="false">
      <c r="A73" s="12" t="s">
        <v>83</v>
      </c>
      <c r="B73" s="12" t="s">
        <v>83</v>
      </c>
      <c r="C73" s="6" t="n">
        <f aca="false">D73/1.25</f>
        <v>120000</v>
      </c>
      <c r="D73" s="13" t="n">
        <v>150000</v>
      </c>
      <c r="E73" s="6" t="n">
        <f aca="false">D73-C73</f>
        <v>30000</v>
      </c>
      <c r="F73" s="6" t="n">
        <f aca="false">D73-E73</f>
        <v>120000</v>
      </c>
      <c r="I73" s="16" t="s">
        <v>84</v>
      </c>
      <c r="J73" s="15" t="n">
        <v>150000</v>
      </c>
    </row>
    <row r="74" customFormat="false" ht="15.75" hidden="false" customHeight="true" outlineLevel="0" collapsed="false">
      <c r="A74" s="12" t="s">
        <v>84</v>
      </c>
      <c r="B74" s="12" t="s">
        <v>84</v>
      </c>
      <c r="C74" s="6" t="n">
        <f aca="false">D74/1.25</f>
        <v>120000</v>
      </c>
      <c r="D74" s="13" t="n">
        <v>150000</v>
      </c>
      <c r="E74" s="6" t="n">
        <f aca="false">D74-C74</f>
        <v>30000</v>
      </c>
      <c r="F74" s="6" t="n">
        <f aca="false">D74-E74</f>
        <v>120000</v>
      </c>
      <c r="I74" s="14" t="s">
        <v>85</v>
      </c>
      <c r="J74" s="15" t="n">
        <v>150000</v>
      </c>
    </row>
    <row r="75" customFormat="false" ht="15.75" hidden="false" customHeight="true" outlineLevel="0" collapsed="false">
      <c r="A75" s="12" t="s">
        <v>85</v>
      </c>
      <c r="B75" s="12" t="s">
        <v>85</v>
      </c>
      <c r="C75" s="6" t="n">
        <f aca="false">D75/1.25</f>
        <v>120000</v>
      </c>
      <c r="D75" s="13" t="n">
        <v>150000</v>
      </c>
      <c r="E75" s="6" t="n">
        <f aca="false">D75-C75</f>
        <v>30000</v>
      </c>
      <c r="F75" s="6" t="n">
        <f aca="false">D75-E75</f>
        <v>120000</v>
      </c>
      <c r="I75" s="16" t="s">
        <v>86</v>
      </c>
      <c r="J75" s="15" t="n">
        <v>156250</v>
      </c>
    </row>
    <row r="76" customFormat="false" ht="15.75" hidden="false" customHeight="true" outlineLevel="0" collapsed="false">
      <c r="A76" s="12" t="s">
        <v>86</v>
      </c>
      <c r="B76" s="12" t="s">
        <v>86</v>
      </c>
      <c r="C76" s="6" t="n">
        <f aca="false">D76/1.25</f>
        <v>125000</v>
      </c>
      <c r="D76" s="13" t="n">
        <v>156250</v>
      </c>
      <c r="E76" s="6" t="n">
        <f aca="false">D76-C76</f>
        <v>31250</v>
      </c>
      <c r="F76" s="6" t="n">
        <f aca="false">D76-E76</f>
        <v>125000</v>
      </c>
      <c r="I76" s="14" t="s">
        <v>87</v>
      </c>
      <c r="J76" s="15" t="n">
        <v>156250</v>
      </c>
    </row>
    <row r="77" customFormat="false" ht="15.75" hidden="false" customHeight="true" outlineLevel="0" collapsed="false">
      <c r="A77" s="12" t="s">
        <v>87</v>
      </c>
      <c r="B77" s="12" t="s">
        <v>87</v>
      </c>
      <c r="C77" s="6" t="n">
        <f aca="false">D77/1.25</f>
        <v>125000</v>
      </c>
      <c r="D77" s="13" t="n">
        <v>156250</v>
      </c>
      <c r="E77" s="6" t="n">
        <f aca="false">D77-C77</f>
        <v>31250</v>
      </c>
      <c r="F77" s="6" t="n">
        <f aca="false">D77-E77</f>
        <v>125000</v>
      </c>
      <c r="I77" s="16" t="s">
        <v>88</v>
      </c>
      <c r="J77" s="15" t="n">
        <v>156250</v>
      </c>
    </row>
    <row r="78" customFormat="false" ht="15.75" hidden="false" customHeight="true" outlineLevel="0" collapsed="false">
      <c r="A78" s="12" t="s">
        <v>88</v>
      </c>
      <c r="B78" s="12" t="s">
        <v>88</v>
      </c>
      <c r="C78" s="6" t="n">
        <f aca="false">D78/1.25</f>
        <v>125000</v>
      </c>
      <c r="D78" s="13" t="n">
        <v>156250</v>
      </c>
      <c r="E78" s="6" t="n">
        <f aca="false">D78-C78</f>
        <v>31250</v>
      </c>
      <c r="F78" s="6" t="n">
        <f aca="false">D78-E78</f>
        <v>125000</v>
      </c>
      <c r="I78" s="16" t="s">
        <v>89</v>
      </c>
      <c r="J78" s="15" t="n">
        <v>156250</v>
      </c>
    </row>
    <row r="79" customFormat="false" ht="15.75" hidden="false" customHeight="true" outlineLevel="0" collapsed="false">
      <c r="A79" s="12" t="s">
        <v>89</v>
      </c>
      <c r="B79" s="12" t="s">
        <v>89</v>
      </c>
      <c r="C79" s="6" t="n">
        <f aca="false">D79/1.25</f>
        <v>125000</v>
      </c>
      <c r="D79" s="13" t="n">
        <v>156250</v>
      </c>
      <c r="E79" s="6" t="n">
        <f aca="false">D79-C79</f>
        <v>31250</v>
      </c>
      <c r="F79" s="6" t="n">
        <f aca="false">D79-E79</f>
        <v>125000</v>
      </c>
      <c r="I79" s="16" t="s">
        <v>90</v>
      </c>
      <c r="J79" s="15" t="n">
        <v>156250</v>
      </c>
    </row>
    <row r="80" customFormat="false" ht="15.75" hidden="false" customHeight="true" outlineLevel="0" collapsed="false">
      <c r="A80" s="12" t="s">
        <v>90</v>
      </c>
      <c r="B80" s="12" t="s">
        <v>90</v>
      </c>
      <c r="C80" s="6" t="n">
        <f aca="false">D80/1.25</f>
        <v>125000</v>
      </c>
      <c r="D80" s="13" t="n">
        <v>156250</v>
      </c>
      <c r="E80" s="6" t="n">
        <f aca="false">D80-C80</f>
        <v>31250</v>
      </c>
      <c r="F80" s="6" t="n">
        <f aca="false">D80-E80</f>
        <v>125000</v>
      </c>
      <c r="I80" s="16" t="s">
        <v>91</v>
      </c>
      <c r="J80" s="15" t="n">
        <v>156250</v>
      </c>
    </row>
    <row r="81" customFormat="false" ht="15.75" hidden="false" customHeight="true" outlineLevel="0" collapsed="false">
      <c r="A81" s="12" t="s">
        <v>91</v>
      </c>
      <c r="B81" s="12" t="s">
        <v>91</v>
      </c>
      <c r="C81" s="6" t="n">
        <f aca="false">D81/1.25</f>
        <v>125000</v>
      </c>
      <c r="D81" s="13" t="n">
        <v>156250</v>
      </c>
      <c r="E81" s="6" t="n">
        <f aca="false">D81-C81</f>
        <v>31250</v>
      </c>
      <c r="F81" s="6" t="n">
        <f aca="false">D81-E81</f>
        <v>125000</v>
      </c>
      <c r="I81" s="16" t="s">
        <v>92</v>
      </c>
      <c r="J81" s="15" t="n">
        <v>157000</v>
      </c>
    </row>
    <row r="82" customFormat="false" ht="15.75" hidden="false" customHeight="true" outlineLevel="0" collapsed="false">
      <c r="A82" s="12" t="s">
        <v>92</v>
      </c>
      <c r="B82" s="12" t="s">
        <v>92</v>
      </c>
      <c r="C82" s="6" t="n">
        <f aca="false">D82/1.25</f>
        <v>125600</v>
      </c>
      <c r="D82" s="13" t="n">
        <v>157000</v>
      </c>
      <c r="E82" s="6" t="n">
        <f aca="false">D82-C82</f>
        <v>31400</v>
      </c>
      <c r="F82" s="6" t="n">
        <f aca="false">D82-E82</f>
        <v>125600</v>
      </c>
      <c r="I82" s="16" t="s">
        <v>93</v>
      </c>
      <c r="J82" s="15" t="n">
        <v>160000</v>
      </c>
    </row>
    <row r="83" customFormat="false" ht="15.75" hidden="false" customHeight="true" outlineLevel="0" collapsed="false">
      <c r="A83" s="12" t="s">
        <v>93</v>
      </c>
      <c r="B83" s="12" t="s">
        <v>93</v>
      </c>
      <c r="C83" s="6" t="n">
        <f aca="false">D83/1.25</f>
        <v>128000</v>
      </c>
      <c r="D83" s="13" t="n">
        <v>160000</v>
      </c>
      <c r="E83" s="6" t="n">
        <f aca="false">D83-C83</f>
        <v>32000</v>
      </c>
      <c r="F83" s="6" t="n">
        <f aca="false">D83-E83</f>
        <v>128000</v>
      </c>
      <c r="I83" s="16" t="s">
        <v>94</v>
      </c>
      <c r="J83" s="15" t="n">
        <v>162500</v>
      </c>
    </row>
    <row r="84" customFormat="false" ht="15.75" hidden="false" customHeight="true" outlineLevel="0" collapsed="false">
      <c r="A84" s="12" t="s">
        <v>94</v>
      </c>
      <c r="B84" s="12" t="s">
        <v>94</v>
      </c>
      <c r="C84" s="6" t="n">
        <f aca="false">D84/1.25</f>
        <v>130000</v>
      </c>
      <c r="D84" s="13" t="n">
        <v>162500</v>
      </c>
      <c r="E84" s="6" t="n">
        <f aca="false">D84-C84</f>
        <v>32500</v>
      </c>
      <c r="F84" s="6" t="n">
        <f aca="false">D84-E84</f>
        <v>130000</v>
      </c>
      <c r="I84" s="16" t="s">
        <v>95</v>
      </c>
      <c r="J84" s="15" t="n">
        <v>162500</v>
      </c>
    </row>
    <row r="85" customFormat="false" ht="15.75" hidden="false" customHeight="true" outlineLevel="0" collapsed="false">
      <c r="A85" s="12" t="s">
        <v>95</v>
      </c>
      <c r="B85" s="12" t="s">
        <v>95</v>
      </c>
      <c r="C85" s="6" t="n">
        <f aca="false">D85/1.25</f>
        <v>130000</v>
      </c>
      <c r="D85" s="13" t="n">
        <v>162500</v>
      </c>
      <c r="E85" s="6" t="n">
        <f aca="false">D85-C85</f>
        <v>32500</v>
      </c>
      <c r="F85" s="6" t="n">
        <f aca="false">D85-E85</f>
        <v>130000</v>
      </c>
      <c r="I85" s="16" t="s">
        <v>96</v>
      </c>
      <c r="J85" s="15" t="n">
        <v>168750</v>
      </c>
    </row>
    <row r="86" customFormat="false" ht="15.75" hidden="false" customHeight="true" outlineLevel="0" collapsed="false">
      <c r="A86" s="12" t="s">
        <v>96</v>
      </c>
      <c r="B86" s="12" t="s">
        <v>96</v>
      </c>
      <c r="C86" s="6" t="n">
        <f aca="false">D86/1.25</f>
        <v>135000</v>
      </c>
      <c r="D86" s="13" t="n">
        <v>168750</v>
      </c>
      <c r="E86" s="6" t="n">
        <f aca="false">D86-C86</f>
        <v>33750</v>
      </c>
      <c r="F86" s="6" t="n">
        <f aca="false">D86-E86</f>
        <v>135000</v>
      </c>
      <c r="I86" s="16" t="s">
        <v>97</v>
      </c>
      <c r="J86" s="15" t="n">
        <v>168750</v>
      </c>
    </row>
    <row r="87" customFormat="false" ht="15.75" hidden="false" customHeight="true" outlineLevel="0" collapsed="false">
      <c r="A87" s="12" t="s">
        <v>97</v>
      </c>
      <c r="B87" s="12" t="s">
        <v>97</v>
      </c>
      <c r="C87" s="6" t="n">
        <f aca="false">D87/1.25</f>
        <v>135000</v>
      </c>
      <c r="D87" s="13" t="n">
        <v>168750</v>
      </c>
      <c r="E87" s="6" t="n">
        <f aca="false">D87-C87</f>
        <v>33750</v>
      </c>
      <c r="F87" s="6" t="n">
        <f aca="false">D87-E87</f>
        <v>135000</v>
      </c>
      <c r="I87" s="16" t="s">
        <v>98</v>
      </c>
      <c r="J87" s="15" t="n">
        <v>168750</v>
      </c>
    </row>
    <row r="88" customFormat="false" ht="15.75" hidden="false" customHeight="true" outlineLevel="0" collapsed="false">
      <c r="A88" s="12" t="s">
        <v>98</v>
      </c>
      <c r="B88" s="12" t="s">
        <v>98</v>
      </c>
      <c r="C88" s="6" t="n">
        <f aca="false">D88/1.25</f>
        <v>135000</v>
      </c>
      <c r="D88" s="13" t="n">
        <v>168750</v>
      </c>
      <c r="E88" s="6" t="n">
        <f aca="false">D88-C88</f>
        <v>33750</v>
      </c>
      <c r="F88" s="6" t="n">
        <f aca="false">D88-E88</f>
        <v>135000</v>
      </c>
      <c r="I88" s="16" t="s">
        <v>99</v>
      </c>
      <c r="J88" s="15" t="n">
        <v>173750</v>
      </c>
    </row>
    <row r="89" customFormat="false" ht="15.75" hidden="false" customHeight="true" outlineLevel="0" collapsed="false">
      <c r="A89" s="12" t="s">
        <v>99</v>
      </c>
      <c r="B89" s="12" t="s">
        <v>99</v>
      </c>
      <c r="C89" s="6" t="n">
        <f aca="false">D89/1.25</f>
        <v>139000</v>
      </c>
      <c r="D89" s="13" t="n">
        <v>173750</v>
      </c>
      <c r="E89" s="6" t="n">
        <f aca="false">D89-C89</f>
        <v>34750</v>
      </c>
      <c r="F89" s="6" t="n">
        <f aca="false">D89-E89</f>
        <v>139000</v>
      </c>
      <c r="I89" s="16" t="s">
        <v>100</v>
      </c>
      <c r="J89" s="15" t="n">
        <v>173750</v>
      </c>
    </row>
    <row r="90" customFormat="false" ht="15.75" hidden="false" customHeight="true" outlineLevel="0" collapsed="false">
      <c r="A90" s="12" t="s">
        <v>100</v>
      </c>
      <c r="B90" s="12" t="s">
        <v>100</v>
      </c>
      <c r="C90" s="6" t="n">
        <f aca="false">D90/1.25</f>
        <v>139000</v>
      </c>
      <c r="D90" s="13" t="n">
        <v>173750</v>
      </c>
      <c r="E90" s="6" t="n">
        <f aca="false">D90-C90</f>
        <v>34750</v>
      </c>
      <c r="F90" s="6" t="n">
        <f aca="false">D90-E90</f>
        <v>139000</v>
      </c>
      <c r="I90" s="16" t="s">
        <v>101</v>
      </c>
      <c r="J90" s="15" t="n">
        <v>175000</v>
      </c>
    </row>
    <row r="91" customFormat="false" ht="15.75" hidden="false" customHeight="true" outlineLevel="0" collapsed="false">
      <c r="A91" s="12" t="s">
        <v>101</v>
      </c>
      <c r="B91" s="12" t="s">
        <v>101</v>
      </c>
      <c r="C91" s="6" t="n">
        <f aca="false">D91/1.25</f>
        <v>140000</v>
      </c>
      <c r="D91" s="13" t="n">
        <v>175000</v>
      </c>
      <c r="E91" s="6" t="n">
        <f aca="false">D91-C91</f>
        <v>35000</v>
      </c>
      <c r="F91" s="6" t="n">
        <f aca="false">D91-E91</f>
        <v>140000</v>
      </c>
      <c r="I91" s="16" t="s">
        <v>102</v>
      </c>
      <c r="J91" s="15" t="n">
        <v>175000</v>
      </c>
    </row>
    <row r="92" customFormat="false" ht="15.75" hidden="false" customHeight="true" outlineLevel="0" collapsed="false">
      <c r="A92" s="12" t="s">
        <v>102</v>
      </c>
      <c r="B92" s="12" t="s">
        <v>102</v>
      </c>
      <c r="C92" s="6" t="n">
        <f aca="false">D92/1.25</f>
        <v>140000</v>
      </c>
      <c r="D92" s="13" t="n">
        <v>175000</v>
      </c>
      <c r="E92" s="6" t="n">
        <f aca="false">D92-C92</f>
        <v>35000</v>
      </c>
      <c r="F92" s="6" t="n">
        <f aca="false">D92-E92</f>
        <v>140000</v>
      </c>
      <c r="I92" s="16" t="s">
        <v>103</v>
      </c>
      <c r="J92" s="15" t="n">
        <v>175000</v>
      </c>
    </row>
    <row r="93" customFormat="false" ht="15.75" hidden="false" customHeight="true" outlineLevel="0" collapsed="false">
      <c r="A93" s="12" t="s">
        <v>103</v>
      </c>
      <c r="B93" s="12" t="s">
        <v>103</v>
      </c>
      <c r="C93" s="6" t="n">
        <f aca="false">D93/1.25</f>
        <v>140000</v>
      </c>
      <c r="D93" s="13" t="n">
        <v>175000</v>
      </c>
      <c r="E93" s="6" t="n">
        <f aca="false">D93-C93</f>
        <v>35000</v>
      </c>
      <c r="F93" s="6" t="n">
        <f aca="false">D93-E93</f>
        <v>140000</v>
      </c>
      <c r="I93" s="16" t="s">
        <v>104</v>
      </c>
      <c r="J93" s="15" t="n">
        <v>175000</v>
      </c>
    </row>
    <row r="94" customFormat="false" ht="15.75" hidden="false" customHeight="true" outlineLevel="0" collapsed="false">
      <c r="A94" s="12" t="s">
        <v>104</v>
      </c>
      <c r="B94" s="12" t="s">
        <v>104</v>
      </c>
      <c r="C94" s="6" t="n">
        <f aca="false">D94/1.25</f>
        <v>140000</v>
      </c>
      <c r="D94" s="13" t="n">
        <v>175000</v>
      </c>
      <c r="E94" s="6" t="n">
        <f aca="false">D94-C94</f>
        <v>35000</v>
      </c>
      <c r="F94" s="6" t="n">
        <f aca="false">D94-E94</f>
        <v>140000</v>
      </c>
      <c r="I94" s="16" t="s">
        <v>105</v>
      </c>
      <c r="J94" s="15" t="n">
        <v>181250</v>
      </c>
    </row>
    <row r="95" customFormat="false" ht="15.75" hidden="false" customHeight="true" outlineLevel="0" collapsed="false">
      <c r="A95" s="12" t="s">
        <v>105</v>
      </c>
      <c r="B95" s="12" t="s">
        <v>105</v>
      </c>
      <c r="C95" s="6" t="n">
        <f aca="false">D95/1.25</f>
        <v>145000</v>
      </c>
      <c r="D95" s="13" t="n">
        <v>181250</v>
      </c>
      <c r="E95" s="6" t="n">
        <f aca="false">D95-C95</f>
        <v>36250</v>
      </c>
      <c r="F95" s="6" t="n">
        <f aca="false">D95-E95</f>
        <v>145000</v>
      </c>
      <c r="I95" s="14" t="s">
        <v>106</v>
      </c>
      <c r="J95" s="15" t="n">
        <v>181250</v>
      </c>
    </row>
    <row r="96" customFormat="false" ht="15.75" hidden="false" customHeight="true" outlineLevel="0" collapsed="false">
      <c r="A96" s="12" t="s">
        <v>106</v>
      </c>
      <c r="B96" s="12" t="s">
        <v>106</v>
      </c>
      <c r="C96" s="6" t="n">
        <f aca="false">D96/1.25</f>
        <v>145000</v>
      </c>
      <c r="D96" s="13" t="n">
        <v>181250</v>
      </c>
      <c r="E96" s="6" t="n">
        <f aca="false">D96-C96</f>
        <v>36250</v>
      </c>
      <c r="F96" s="6" t="n">
        <f aca="false">D96-E96</f>
        <v>145000</v>
      </c>
      <c r="I96" s="16" t="s">
        <v>107</v>
      </c>
      <c r="J96" s="15" t="n">
        <v>182000</v>
      </c>
    </row>
    <row r="97" customFormat="false" ht="15.75" hidden="false" customHeight="true" outlineLevel="0" collapsed="false">
      <c r="A97" s="12" t="s">
        <v>107</v>
      </c>
      <c r="B97" s="12" t="s">
        <v>107</v>
      </c>
      <c r="C97" s="6" t="n">
        <f aca="false">D97/1.25</f>
        <v>145600</v>
      </c>
      <c r="D97" s="13" t="n">
        <v>182000</v>
      </c>
      <c r="E97" s="6" t="n">
        <f aca="false">D97-C97</f>
        <v>36400</v>
      </c>
      <c r="F97" s="6" t="n">
        <f aca="false">D97-E97</f>
        <v>145600</v>
      </c>
      <c r="I97" s="16" t="s">
        <v>108</v>
      </c>
      <c r="J97" s="15" t="n">
        <v>185000</v>
      </c>
    </row>
    <row r="98" customFormat="false" ht="15.75" hidden="false" customHeight="true" outlineLevel="0" collapsed="false">
      <c r="A98" s="12" t="s">
        <v>108</v>
      </c>
      <c r="B98" s="12" t="s">
        <v>108</v>
      </c>
      <c r="C98" s="6" t="n">
        <f aca="false">D98/1.25</f>
        <v>148000</v>
      </c>
      <c r="D98" s="13" t="n">
        <v>185000</v>
      </c>
      <c r="E98" s="6" t="n">
        <f aca="false">D98-C98</f>
        <v>37000</v>
      </c>
      <c r="F98" s="6" t="n">
        <f aca="false">D98-E98</f>
        <v>148000</v>
      </c>
      <c r="I98" s="16" t="s">
        <v>109</v>
      </c>
      <c r="J98" s="15" t="n">
        <v>185000</v>
      </c>
    </row>
    <row r="99" customFormat="false" ht="15.75" hidden="false" customHeight="true" outlineLevel="0" collapsed="false">
      <c r="A99" s="12" t="s">
        <v>109</v>
      </c>
      <c r="B99" s="12" t="s">
        <v>109</v>
      </c>
      <c r="C99" s="6" t="n">
        <f aca="false">D99/1.25</f>
        <v>148000</v>
      </c>
      <c r="D99" s="13" t="n">
        <v>185000</v>
      </c>
      <c r="E99" s="6" t="n">
        <f aca="false">D99-C99</f>
        <v>37000</v>
      </c>
      <c r="F99" s="6" t="n">
        <f aca="false">D99-E99</f>
        <v>148000</v>
      </c>
      <c r="I99" s="16" t="s">
        <v>110</v>
      </c>
      <c r="J99" s="15" t="n">
        <v>187500</v>
      </c>
    </row>
    <row r="100" customFormat="false" ht="15.75" hidden="false" customHeight="true" outlineLevel="0" collapsed="false">
      <c r="A100" s="12" t="s">
        <v>110</v>
      </c>
      <c r="B100" s="12" t="s">
        <v>110</v>
      </c>
      <c r="C100" s="6" t="n">
        <f aca="false">D100/1.25</f>
        <v>150000</v>
      </c>
      <c r="D100" s="13" t="n">
        <v>187500</v>
      </c>
      <c r="E100" s="6" t="n">
        <f aca="false">D100-C100</f>
        <v>37500</v>
      </c>
      <c r="F100" s="6" t="n">
        <f aca="false">D100-E100</f>
        <v>150000</v>
      </c>
      <c r="I100" s="16" t="s">
        <v>111</v>
      </c>
      <c r="J100" s="15" t="n">
        <v>188000</v>
      </c>
    </row>
    <row r="101" customFormat="false" ht="15.75" hidden="false" customHeight="true" outlineLevel="0" collapsed="false">
      <c r="A101" s="12" t="s">
        <v>111</v>
      </c>
      <c r="B101" s="12" t="s">
        <v>111</v>
      </c>
      <c r="C101" s="6" t="n">
        <f aca="false">D101/1.25</f>
        <v>150400</v>
      </c>
      <c r="D101" s="13" t="n">
        <v>188000</v>
      </c>
      <c r="E101" s="6" t="n">
        <f aca="false">D101-C101</f>
        <v>37600</v>
      </c>
      <c r="F101" s="6" t="n">
        <f aca="false">D101-E101</f>
        <v>150400</v>
      </c>
      <c r="I101" s="16" t="s">
        <v>112</v>
      </c>
      <c r="J101" s="15" t="n">
        <v>193750</v>
      </c>
    </row>
    <row r="102" customFormat="false" ht="15.75" hidden="false" customHeight="true" outlineLevel="0" collapsed="false">
      <c r="A102" s="12" t="s">
        <v>112</v>
      </c>
      <c r="B102" s="12" t="s">
        <v>112</v>
      </c>
      <c r="C102" s="6" t="n">
        <f aca="false">D102/1.25</f>
        <v>155000</v>
      </c>
      <c r="D102" s="13" t="n">
        <v>193750</v>
      </c>
      <c r="E102" s="6" t="n">
        <f aca="false">D102-C102</f>
        <v>38750</v>
      </c>
      <c r="F102" s="6" t="n">
        <f aca="false">D102-E102</f>
        <v>155000</v>
      </c>
      <c r="I102" s="16" t="s">
        <v>113</v>
      </c>
      <c r="J102" s="15" t="n">
        <v>193750</v>
      </c>
    </row>
    <row r="103" customFormat="false" ht="15.75" hidden="false" customHeight="true" outlineLevel="0" collapsed="false">
      <c r="A103" s="12" t="s">
        <v>113</v>
      </c>
      <c r="B103" s="12" t="s">
        <v>113</v>
      </c>
      <c r="C103" s="6" t="n">
        <f aca="false">D103/1.25</f>
        <v>155000</v>
      </c>
      <c r="D103" s="13" t="n">
        <v>193750</v>
      </c>
      <c r="E103" s="6" t="n">
        <f aca="false">D103-C103</f>
        <v>38750</v>
      </c>
      <c r="F103" s="6" t="n">
        <f aca="false">D103-E103</f>
        <v>155000</v>
      </c>
      <c r="I103" s="16" t="s">
        <v>114</v>
      </c>
      <c r="J103" s="15" t="n">
        <v>193750</v>
      </c>
    </row>
    <row r="104" customFormat="false" ht="15.75" hidden="false" customHeight="true" outlineLevel="0" collapsed="false">
      <c r="A104" s="12" t="s">
        <v>114</v>
      </c>
      <c r="B104" s="12" t="s">
        <v>114</v>
      </c>
      <c r="C104" s="6" t="n">
        <f aca="false">D104/1.25</f>
        <v>155000</v>
      </c>
      <c r="D104" s="13" t="n">
        <v>193750</v>
      </c>
      <c r="E104" s="6" t="n">
        <f aca="false">D104-C104</f>
        <v>38750</v>
      </c>
      <c r="F104" s="6" t="n">
        <f aca="false">D104-E104</f>
        <v>155000</v>
      </c>
      <c r="I104" s="16" t="s">
        <v>115</v>
      </c>
      <c r="J104" s="15" t="n">
        <v>193750</v>
      </c>
    </row>
    <row r="105" customFormat="false" ht="15.75" hidden="false" customHeight="true" outlineLevel="0" collapsed="false">
      <c r="A105" s="12" t="s">
        <v>115</v>
      </c>
      <c r="B105" s="12" t="s">
        <v>115</v>
      </c>
      <c r="C105" s="6" t="n">
        <f aca="false">D105/1.25</f>
        <v>155000</v>
      </c>
      <c r="D105" s="13" t="n">
        <v>193750</v>
      </c>
      <c r="E105" s="6" t="n">
        <f aca="false">D105-C105</f>
        <v>38750</v>
      </c>
      <c r="F105" s="6" t="n">
        <f aca="false">D105-E105</f>
        <v>155000</v>
      </c>
      <c r="I105" s="16" t="s">
        <v>116</v>
      </c>
      <c r="J105" s="15" t="n">
        <v>193750</v>
      </c>
    </row>
    <row r="106" customFormat="false" ht="15.75" hidden="false" customHeight="true" outlineLevel="0" collapsed="false">
      <c r="A106" s="12" t="s">
        <v>116</v>
      </c>
      <c r="B106" s="12" t="s">
        <v>116</v>
      </c>
      <c r="C106" s="6" t="n">
        <f aca="false">D106/1.25</f>
        <v>155000</v>
      </c>
      <c r="D106" s="13" t="n">
        <v>193750</v>
      </c>
      <c r="E106" s="6" t="n">
        <f aca="false">D106-C106</f>
        <v>38750</v>
      </c>
      <c r="F106" s="6" t="n">
        <f aca="false">D106-E106</f>
        <v>155000</v>
      </c>
      <c r="I106" s="16" t="s">
        <v>117</v>
      </c>
      <c r="J106" s="15" t="n">
        <v>193750</v>
      </c>
    </row>
    <row r="107" customFormat="false" ht="15.75" hidden="false" customHeight="true" outlineLevel="0" collapsed="false">
      <c r="A107" s="12" t="s">
        <v>117</v>
      </c>
      <c r="B107" s="12" t="s">
        <v>117</v>
      </c>
      <c r="C107" s="6" t="n">
        <f aca="false">D107/1.25</f>
        <v>155000</v>
      </c>
      <c r="D107" s="13" t="n">
        <v>193750</v>
      </c>
      <c r="E107" s="6" t="n">
        <f aca="false">D107-C107</f>
        <v>38750</v>
      </c>
      <c r="F107" s="6" t="n">
        <f aca="false">D107-E107</f>
        <v>155000</v>
      </c>
      <c r="I107" s="16" t="s">
        <v>118</v>
      </c>
      <c r="J107" s="15" t="n">
        <v>193750</v>
      </c>
    </row>
    <row r="108" customFormat="false" ht="15.75" hidden="false" customHeight="true" outlineLevel="0" collapsed="false">
      <c r="A108" s="12" t="s">
        <v>118</v>
      </c>
      <c r="B108" s="12" t="s">
        <v>118</v>
      </c>
      <c r="C108" s="6" t="n">
        <f aca="false">D108/1.25</f>
        <v>155000</v>
      </c>
      <c r="D108" s="13" t="n">
        <v>193750</v>
      </c>
      <c r="E108" s="6" t="n">
        <f aca="false">D108-C108</f>
        <v>38750</v>
      </c>
      <c r="F108" s="6" t="n">
        <f aca="false">D108-E108</f>
        <v>155000</v>
      </c>
      <c r="I108" s="16" t="s">
        <v>119</v>
      </c>
      <c r="J108" s="15" t="n">
        <v>193750</v>
      </c>
    </row>
    <row r="109" customFormat="false" ht="15.75" hidden="false" customHeight="true" outlineLevel="0" collapsed="false">
      <c r="A109" s="12" t="s">
        <v>119</v>
      </c>
      <c r="B109" s="12" t="s">
        <v>119</v>
      </c>
      <c r="C109" s="6" t="n">
        <f aca="false">D109/1.25</f>
        <v>155000</v>
      </c>
      <c r="D109" s="13" t="n">
        <v>193750</v>
      </c>
      <c r="E109" s="6" t="n">
        <f aca="false">D109-C109</f>
        <v>38750</v>
      </c>
      <c r="F109" s="6" t="n">
        <f aca="false">D109-E109</f>
        <v>155000</v>
      </c>
      <c r="I109" s="16" t="s">
        <v>120</v>
      </c>
      <c r="J109" s="15" t="n">
        <v>193750</v>
      </c>
    </row>
    <row r="110" customFormat="false" ht="15.75" hidden="false" customHeight="true" outlineLevel="0" collapsed="false">
      <c r="A110" s="12" t="s">
        <v>120</v>
      </c>
      <c r="B110" s="12" t="s">
        <v>120</v>
      </c>
      <c r="C110" s="6" t="n">
        <f aca="false">D110/1.25</f>
        <v>155000</v>
      </c>
      <c r="D110" s="13" t="n">
        <v>193750</v>
      </c>
      <c r="E110" s="6" t="n">
        <f aca="false">D110-C110</f>
        <v>38750</v>
      </c>
      <c r="F110" s="6" t="n">
        <f aca="false">D110-E110</f>
        <v>155000</v>
      </c>
      <c r="I110" s="16" t="s">
        <v>121</v>
      </c>
      <c r="J110" s="15" t="n">
        <v>197500</v>
      </c>
    </row>
    <row r="111" customFormat="false" ht="15.75" hidden="false" customHeight="true" outlineLevel="0" collapsed="false">
      <c r="A111" s="12" t="s">
        <v>121</v>
      </c>
      <c r="B111" s="12" t="s">
        <v>121</v>
      </c>
      <c r="C111" s="6" t="n">
        <f aca="false">D111/1.25</f>
        <v>158000</v>
      </c>
      <c r="D111" s="13" t="n">
        <v>197500</v>
      </c>
      <c r="E111" s="6" t="n">
        <f aca="false">D111-C111</f>
        <v>39500</v>
      </c>
      <c r="F111" s="6" t="n">
        <f aca="false">D111-E111</f>
        <v>158000</v>
      </c>
      <c r="I111" s="16" t="s">
        <v>122</v>
      </c>
      <c r="J111" s="15" t="n">
        <v>197500</v>
      </c>
    </row>
    <row r="112" customFormat="false" ht="15.75" hidden="false" customHeight="true" outlineLevel="0" collapsed="false">
      <c r="A112" s="12" t="s">
        <v>122</v>
      </c>
      <c r="B112" s="12" t="s">
        <v>122</v>
      </c>
      <c r="C112" s="6" t="n">
        <f aca="false">D112/1.25</f>
        <v>158000</v>
      </c>
      <c r="D112" s="13" t="n">
        <v>197500</v>
      </c>
      <c r="E112" s="6" t="n">
        <f aca="false">D112-C112</f>
        <v>39500</v>
      </c>
      <c r="F112" s="6" t="n">
        <f aca="false">D112-E112</f>
        <v>158000</v>
      </c>
      <c r="I112" s="16" t="s">
        <v>123</v>
      </c>
      <c r="J112" s="15" t="n">
        <v>197500</v>
      </c>
    </row>
    <row r="113" customFormat="false" ht="15.75" hidden="false" customHeight="true" outlineLevel="0" collapsed="false">
      <c r="A113" s="12" t="s">
        <v>123</v>
      </c>
      <c r="B113" s="12" t="s">
        <v>123</v>
      </c>
      <c r="C113" s="6" t="n">
        <f aca="false">D113/1.25</f>
        <v>158000</v>
      </c>
      <c r="D113" s="13" t="n">
        <v>197500</v>
      </c>
      <c r="E113" s="6" t="n">
        <f aca="false">D113-C113</f>
        <v>39500</v>
      </c>
      <c r="F113" s="6" t="n">
        <f aca="false">D113-E113</f>
        <v>158000</v>
      </c>
      <c r="I113" s="16" t="s">
        <v>124</v>
      </c>
      <c r="J113" s="15" t="n">
        <v>200000</v>
      </c>
    </row>
    <row r="114" customFormat="false" ht="15.75" hidden="false" customHeight="true" outlineLevel="0" collapsed="false">
      <c r="A114" s="12" t="s">
        <v>124</v>
      </c>
      <c r="B114" s="12" t="s">
        <v>124</v>
      </c>
      <c r="C114" s="6" t="n">
        <f aca="false">D114/1.25</f>
        <v>160000</v>
      </c>
      <c r="D114" s="13" t="n">
        <v>200000</v>
      </c>
      <c r="E114" s="6" t="n">
        <f aca="false">D114-C114</f>
        <v>40000</v>
      </c>
      <c r="F114" s="6" t="n">
        <f aca="false">D114-E114</f>
        <v>160000</v>
      </c>
      <c r="I114" s="16" t="s">
        <v>125</v>
      </c>
      <c r="J114" s="15" t="n">
        <v>200000</v>
      </c>
    </row>
    <row r="115" customFormat="false" ht="15.75" hidden="false" customHeight="true" outlineLevel="0" collapsed="false">
      <c r="A115" s="12" t="s">
        <v>125</v>
      </c>
      <c r="B115" s="12" t="s">
        <v>125</v>
      </c>
      <c r="C115" s="6" t="n">
        <f aca="false">D115/1.25</f>
        <v>160000</v>
      </c>
      <c r="D115" s="13" t="n">
        <v>200000</v>
      </c>
      <c r="E115" s="6" t="n">
        <f aca="false">D115-C115</f>
        <v>40000</v>
      </c>
      <c r="F115" s="6" t="n">
        <f aca="false">D115-E115</f>
        <v>160000</v>
      </c>
      <c r="I115" s="16" t="s">
        <v>126</v>
      </c>
      <c r="J115" s="15" t="n">
        <v>200000</v>
      </c>
    </row>
    <row r="116" customFormat="false" ht="15.75" hidden="false" customHeight="true" outlineLevel="0" collapsed="false">
      <c r="A116" s="12" t="s">
        <v>126</v>
      </c>
      <c r="B116" s="12" t="s">
        <v>126</v>
      </c>
      <c r="C116" s="6" t="n">
        <f aca="false">D116/1.25</f>
        <v>160000</v>
      </c>
      <c r="D116" s="13" t="n">
        <v>200000</v>
      </c>
      <c r="E116" s="6" t="n">
        <f aca="false">D116-C116</f>
        <v>40000</v>
      </c>
      <c r="F116" s="6" t="n">
        <f aca="false">D116-E116</f>
        <v>160000</v>
      </c>
      <c r="I116" s="16" t="s">
        <v>127</v>
      </c>
      <c r="J116" s="15" t="n">
        <v>200000</v>
      </c>
    </row>
    <row r="117" customFormat="false" ht="15.75" hidden="false" customHeight="true" outlineLevel="0" collapsed="false">
      <c r="A117" s="12" t="s">
        <v>127</v>
      </c>
      <c r="B117" s="12" t="s">
        <v>127</v>
      </c>
      <c r="C117" s="6" t="n">
        <f aca="false">D117/1.25</f>
        <v>160000</v>
      </c>
      <c r="D117" s="13" t="n">
        <v>200000</v>
      </c>
      <c r="E117" s="6" t="n">
        <f aca="false">D117-C117</f>
        <v>40000</v>
      </c>
      <c r="F117" s="6" t="n">
        <f aca="false">D117-E117</f>
        <v>160000</v>
      </c>
      <c r="I117" s="16" t="s">
        <v>128</v>
      </c>
      <c r="J117" s="15" t="n">
        <v>206250</v>
      </c>
    </row>
    <row r="118" customFormat="false" ht="15.75" hidden="false" customHeight="true" outlineLevel="0" collapsed="false">
      <c r="A118" s="12" t="s">
        <v>128</v>
      </c>
      <c r="B118" s="12" t="s">
        <v>128</v>
      </c>
      <c r="C118" s="6" t="n">
        <f aca="false">D118/1.25</f>
        <v>165000</v>
      </c>
      <c r="D118" s="13" t="n">
        <v>206250</v>
      </c>
      <c r="E118" s="6" t="n">
        <f aca="false">D118-C118</f>
        <v>41250</v>
      </c>
      <c r="F118" s="6" t="n">
        <f aca="false">D118-E118</f>
        <v>165000</v>
      </c>
      <c r="I118" s="16" t="s">
        <v>129</v>
      </c>
      <c r="J118" s="15" t="n">
        <v>206250</v>
      </c>
    </row>
    <row r="119" customFormat="false" ht="15.75" hidden="false" customHeight="true" outlineLevel="0" collapsed="false">
      <c r="A119" s="12" t="s">
        <v>129</v>
      </c>
      <c r="B119" s="12" t="s">
        <v>129</v>
      </c>
      <c r="C119" s="6" t="n">
        <f aca="false">D119/1.25</f>
        <v>165000</v>
      </c>
      <c r="D119" s="13" t="n">
        <v>206250</v>
      </c>
      <c r="E119" s="6" t="n">
        <f aca="false">D119-C119</f>
        <v>41250</v>
      </c>
      <c r="F119" s="6" t="n">
        <f aca="false">D119-E119</f>
        <v>165000</v>
      </c>
      <c r="I119" s="16" t="s">
        <v>130</v>
      </c>
      <c r="J119" s="15" t="n">
        <v>207000</v>
      </c>
    </row>
    <row r="120" customFormat="false" ht="15.75" hidden="false" customHeight="true" outlineLevel="0" collapsed="false">
      <c r="A120" s="12" t="s">
        <v>130</v>
      </c>
      <c r="B120" s="12" t="s">
        <v>130</v>
      </c>
      <c r="C120" s="6" t="n">
        <f aca="false">D120/1.25</f>
        <v>165600</v>
      </c>
      <c r="D120" s="13" t="n">
        <v>207000</v>
      </c>
      <c r="E120" s="6" t="n">
        <f aca="false">D120-C120</f>
        <v>41400</v>
      </c>
      <c r="F120" s="6" t="n">
        <f aca="false">D120-E120</f>
        <v>165600</v>
      </c>
      <c r="I120" s="16" t="s">
        <v>131</v>
      </c>
      <c r="J120" s="15" t="n">
        <v>207000</v>
      </c>
    </row>
    <row r="121" customFormat="false" ht="15.75" hidden="false" customHeight="true" outlineLevel="0" collapsed="false">
      <c r="A121" s="12" t="s">
        <v>131</v>
      </c>
      <c r="B121" s="12" t="s">
        <v>131</v>
      </c>
      <c r="C121" s="6" t="n">
        <f aca="false">D121/1.25</f>
        <v>165600</v>
      </c>
      <c r="D121" s="13" t="n">
        <v>207000</v>
      </c>
      <c r="E121" s="6" t="n">
        <f aca="false">D121-C121</f>
        <v>41400</v>
      </c>
      <c r="F121" s="6" t="n">
        <f aca="false">D121-E121</f>
        <v>165600</v>
      </c>
      <c r="I121" s="16" t="s">
        <v>132</v>
      </c>
      <c r="J121" s="15" t="n">
        <v>210000</v>
      </c>
    </row>
    <row r="122" customFormat="false" ht="15.75" hidden="false" customHeight="true" outlineLevel="0" collapsed="false">
      <c r="A122" s="12" t="s">
        <v>132</v>
      </c>
      <c r="B122" s="12" t="s">
        <v>132</v>
      </c>
      <c r="C122" s="6" t="n">
        <f aca="false">D122/1.25</f>
        <v>168000</v>
      </c>
      <c r="D122" s="13" t="n">
        <v>210000</v>
      </c>
      <c r="E122" s="6" t="n">
        <f aca="false">D122-C122</f>
        <v>42000</v>
      </c>
      <c r="F122" s="6" t="n">
        <f aca="false">D122-E122</f>
        <v>168000</v>
      </c>
      <c r="I122" s="16" t="s">
        <v>133</v>
      </c>
      <c r="J122" s="15" t="n">
        <v>210000</v>
      </c>
    </row>
    <row r="123" customFormat="false" ht="15.75" hidden="false" customHeight="true" outlineLevel="0" collapsed="false">
      <c r="A123" s="12" t="s">
        <v>133</v>
      </c>
      <c r="B123" s="12" t="s">
        <v>133</v>
      </c>
      <c r="C123" s="6" t="n">
        <f aca="false">D123/1.25</f>
        <v>168000</v>
      </c>
      <c r="D123" s="13" t="n">
        <v>210000</v>
      </c>
      <c r="E123" s="6" t="n">
        <f aca="false">D123-C123</f>
        <v>42000</v>
      </c>
      <c r="F123" s="6" t="n">
        <f aca="false">D123-E123</f>
        <v>168000</v>
      </c>
      <c r="I123" s="16" t="s">
        <v>134</v>
      </c>
      <c r="J123" s="15" t="n">
        <v>210000</v>
      </c>
    </row>
    <row r="124" customFormat="false" ht="15.75" hidden="false" customHeight="true" outlineLevel="0" collapsed="false">
      <c r="A124" s="12" t="s">
        <v>134</v>
      </c>
      <c r="B124" s="12" t="s">
        <v>134</v>
      </c>
      <c r="C124" s="6" t="n">
        <f aca="false">D124/1.25</f>
        <v>168000</v>
      </c>
      <c r="D124" s="13" t="n">
        <v>210000</v>
      </c>
      <c r="E124" s="6" t="n">
        <f aca="false">D124-C124</f>
        <v>42000</v>
      </c>
      <c r="F124" s="6" t="n">
        <f aca="false">D124-E124</f>
        <v>168000</v>
      </c>
      <c r="I124" s="16" t="s">
        <v>135</v>
      </c>
      <c r="J124" s="15" t="n">
        <v>210000</v>
      </c>
    </row>
    <row r="125" customFormat="false" ht="15.75" hidden="false" customHeight="true" outlineLevel="0" collapsed="false">
      <c r="A125" s="12" t="s">
        <v>135</v>
      </c>
      <c r="B125" s="12" t="s">
        <v>135</v>
      </c>
      <c r="C125" s="6" t="n">
        <f aca="false">D125/1.25</f>
        <v>168000</v>
      </c>
      <c r="D125" s="13" t="n">
        <v>210000</v>
      </c>
      <c r="E125" s="6" t="n">
        <f aca="false">D125-C125</f>
        <v>42000</v>
      </c>
      <c r="F125" s="6" t="n">
        <f aca="false">D125-E125</f>
        <v>168000</v>
      </c>
      <c r="I125" s="16" t="s">
        <v>136</v>
      </c>
      <c r="J125" s="15" t="n">
        <v>210000</v>
      </c>
    </row>
    <row r="126" customFormat="false" ht="15.75" hidden="false" customHeight="true" outlineLevel="0" collapsed="false">
      <c r="A126" s="12" t="s">
        <v>136</v>
      </c>
      <c r="B126" s="12" t="s">
        <v>136</v>
      </c>
      <c r="C126" s="6" t="n">
        <f aca="false">D126/1.25</f>
        <v>168000</v>
      </c>
      <c r="D126" s="13" t="n">
        <v>210000</v>
      </c>
      <c r="E126" s="6" t="n">
        <f aca="false">D126-C126</f>
        <v>42000</v>
      </c>
      <c r="F126" s="6" t="n">
        <f aca="false">D126-E126</f>
        <v>168000</v>
      </c>
      <c r="I126" s="16" t="s">
        <v>137</v>
      </c>
      <c r="J126" s="15" t="n">
        <v>210000</v>
      </c>
    </row>
    <row r="127" customFormat="false" ht="15.75" hidden="false" customHeight="true" outlineLevel="0" collapsed="false">
      <c r="A127" s="12" t="s">
        <v>137</v>
      </c>
      <c r="B127" s="12" t="s">
        <v>137</v>
      </c>
      <c r="C127" s="6" t="n">
        <f aca="false">D127/1.25</f>
        <v>168000</v>
      </c>
      <c r="D127" s="13" t="n">
        <v>210000</v>
      </c>
      <c r="E127" s="6" t="n">
        <f aca="false">D127-C127</f>
        <v>42000</v>
      </c>
      <c r="F127" s="6" t="n">
        <f aca="false">D127-E127</f>
        <v>168000</v>
      </c>
      <c r="I127" s="16" t="s">
        <v>138</v>
      </c>
      <c r="J127" s="15" t="n">
        <v>210000</v>
      </c>
    </row>
    <row r="128" customFormat="false" ht="15.75" hidden="false" customHeight="true" outlineLevel="0" collapsed="false">
      <c r="A128" s="12" t="s">
        <v>138</v>
      </c>
      <c r="B128" s="12" t="s">
        <v>138</v>
      </c>
      <c r="C128" s="6" t="n">
        <f aca="false">D128/1.25</f>
        <v>168000</v>
      </c>
      <c r="D128" s="13" t="n">
        <v>210000</v>
      </c>
      <c r="E128" s="6" t="n">
        <f aca="false">D128-C128</f>
        <v>42000</v>
      </c>
      <c r="F128" s="6" t="n">
        <f aca="false">D128-E128</f>
        <v>168000</v>
      </c>
      <c r="I128" s="16" t="s">
        <v>139</v>
      </c>
      <c r="J128" s="15" t="n">
        <v>212500</v>
      </c>
    </row>
    <row r="129" customFormat="false" ht="15.75" hidden="false" customHeight="true" outlineLevel="0" collapsed="false">
      <c r="A129" s="12" t="s">
        <v>139</v>
      </c>
      <c r="B129" s="12" t="s">
        <v>139</v>
      </c>
      <c r="C129" s="6" t="n">
        <f aca="false">D129/1.25</f>
        <v>170000</v>
      </c>
      <c r="D129" s="13" t="n">
        <v>212500</v>
      </c>
      <c r="E129" s="6" t="n">
        <f aca="false">D129-C129</f>
        <v>42500</v>
      </c>
      <c r="F129" s="6" t="n">
        <f aca="false">D129-E129</f>
        <v>170000</v>
      </c>
      <c r="I129" s="16" t="s">
        <v>140</v>
      </c>
      <c r="J129" s="15" t="n">
        <v>218750</v>
      </c>
    </row>
    <row r="130" customFormat="false" ht="15.75" hidden="false" customHeight="true" outlineLevel="0" collapsed="false">
      <c r="A130" s="12" t="s">
        <v>140</v>
      </c>
      <c r="B130" s="12" t="s">
        <v>140</v>
      </c>
      <c r="C130" s="6" t="n">
        <f aca="false">D130/1.25</f>
        <v>175000</v>
      </c>
      <c r="D130" s="13" t="n">
        <v>218750</v>
      </c>
      <c r="E130" s="6" t="n">
        <f aca="false">D130-C130</f>
        <v>43750</v>
      </c>
      <c r="F130" s="6" t="n">
        <f aca="false">D130-E130</f>
        <v>175000</v>
      </c>
      <c r="I130" s="16" t="s">
        <v>141</v>
      </c>
      <c r="J130" s="15" t="n">
        <v>218750</v>
      </c>
    </row>
    <row r="131" customFormat="false" ht="15.75" hidden="false" customHeight="true" outlineLevel="0" collapsed="false">
      <c r="A131" s="12" t="s">
        <v>141</v>
      </c>
      <c r="B131" s="12" t="s">
        <v>141</v>
      </c>
      <c r="C131" s="6" t="n">
        <f aca="false">D131/1.25</f>
        <v>175000</v>
      </c>
      <c r="D131" s="13" t="n">
        <v>218750</v>
      </c>
      <c r="E131" s="6" t="n">
        <f aca="false">D131-C131</f>
        <v>43750</v>
      </c>
      <c r="F131" s="6" t="n">
        <f aca="false">D131-E131</f>
        <v>175000</v>
      </c>
      <c r="I131" s="16" t="s">
        <v>142</v>
      </c>
      <c r="J131" s="15" t="n">
        <v>218750</v>
      </c>
    </row>
    <row r="132" customFormat="false" ht="15.75" hidden="false" customHeight="true" outlineLevel="0" collapsed="false">
      <c r="A132" s="12" t="s">
        <v>142</v>
      </c>
      <c r="B132" s="12" t="s">
        <v>142</v>
      </c>
      <c r="C132" s="6" t="n">
        <f aca="false">D132/1.25</f>
        <v>175000</v>
      </c>
      <c r="D132" s="13" t="n">
        <v>218750</v>
      </c>
      <c r="E132" s="6" t="n">
        <f aca="false">D132-C132</f>
        <v>43750</v>
      </c>
      <c r="F132" s="6" t="n">
        <f aca="false">D132-E132</f>
        <v>175000</v>
      </c>
      <c r="I132" s="16" t="s">
        <v>143</v>
      </c>
      <c r="J132" s="15" t="n">
        <v>218750</v>
      </c>
    </row>
    <row r="133" customFormat="false" ht="15.75" hidden="false" customHeight="true" outlineLevel="0" collapsed="false">
      <c r="A133" s="12" t="s">
        <v>143</v>
      </c>
      <c r="B133" s="12" t="s">
        <v>143</v>
      </c>
      <c r="C133" s="6" t="n">
        <f aca="false">D133/1.25</f>
        <v>175000</v>
      </c>
      <c r="D133" s="13" t="n">
        <v>218750</v>
      </c>
      <c r="E133" s="6" t="n">
        <f aca="false">D133-C133</f>
        <v>43750</v>
      </c>
      <c r="F133" s="6" t="n">
        <f aca="false">D133-E133</f>
        <v>175000</v>
      </c>
      <c r="I133" s="1" t="s">
        <v>144</v>
      </c>
      <c r="J133" s="1" t="n">
        <v>219000</v>
      </c>
    </row>
    <row r="134" customFormat="false" ht="15.75" hidden="false" customHeight="true" outlineLevel="0" collapsed="false">
      <c r="A134" s="12" t="s">
        <v>144</v>
      </c>
      <c r="B134" s="12" t="s">
        <v>144</v>
      </c>
      <c r="C134" s="6" t="n">
        <f aca="false">D134/1.25</f>
        <v>175200</v>
      </c>
      <c r="D134" s="13" t="n">
        <v>219000</v>
      </c>
      <c r="E134" s="6" t="n">
        <f aca="false">D134-C134</f>
        <v>43800</v>
      </c>
      <c r="F134" s="6" t="n">
        <f aca="false">D134-E134</f>
        <v>175200</v>
      </c>
      <c r="I134" s="1" t="s">
        <v>145</v>
      </c>
      <c r="J134" s="1" t="n">
        <v>219000</v>
      </c>
    </row>
    <row r="135" customFormat="false" ht="15.75" hidden="false" customHeight="true" outlineLevel="0" collapsed="false">
      <c r="A135" s="12" t="s">
        <v>145</v>
      </c>
      <c r="B135" s="12" t="s">
        <v>145</v>
      </c>
      <c r="C135" s="6" t="n">
        <f aca="false">D135/1.25</f>
        <v>175200</v>
      </c>
      <c r="D135" s="13" t="n">
        <v>219000</v>
      </c>
      <c r="E135" s="6" t="n">
        <f aca="false">D135-C135</f>
        <v>43800</v>
      </c>
      <c r="F135" s="6" t="n">
        <f aca="false">D135-E135</f>
        <v>175200</v>
      </c>
      <c r="I135" s="1" t="s">
        <v>146</v>
      </c>
      <c r="J135" s="1" t="n">
        <v>222500</v>
      </c>
    </row>
    <row r="136" customFormat="false" ht="15.75" hidden="false" customHeight="true" outlineLevel="0" collapsed="false">
      <c r="A136" s="12" t="s">
        <v>146</v>
      </c>
      <c r="B136" s="12" t="s">
        <v>146</v>
      </c>
      <c r="C136" s="6" t="n">
        <f aca="false">D136/1.25</f>
        <v>178000</v>
      </c>
      <c r="D136" s="13" t="n">
        <v>222500</v>
      </c>
      <c r="E136" s="6" t="n">
        <f aca="false">D136-C136</f>
        <v>44500</v>
      </c>
      <c r="F136" s="6" t="n">
        <f aca="false">D136-E136</f>
        <v>178000</v>
      </c>
      <c r="I136" s="1" t="s">
        <v>147</v>
      </c>
      <c r="J136" s="1" t="n">
        <v>225000</v>
      </c>
    </row>
    <row r="137" customFormat="false" ht="15.75" hidden="false" customHeight="true" outlineLevel="0" collapsed="false">
      <c r="A137" s="12" t="s">
        <v>147</v>
      </c>
      <c r="B137" s="12" t="s">
        <v>147</v>
      </c>
      <c r="C137" s="6" t="n">
        <f aca="false">D137/1.25</f>
        <v>180000</v>
      </c>
      <c r="D137" s="13" t="n">
        <v>225000</v>
      </c>
      <c r="E137" s="6" t="n">
        <f aca="false">D137-C137</f>
        <v>45000</v>
      </c>
      <c r="F137" s="6" t="n">
        <f aca="false">D137-E137</f>
        <v>180000</v>
      </c>
      <c r="I137" s="1" t="s">
        <v>148</v>
      </c>
      <c r="J137" s="1" t="n">
        <v>225000</v>
      </c>
    </row>
    <row r="138" customFormat="false" ht="15.75" hidden="false" customHeight="true" outlineLevel="0" collapsed="false">
      <c r="A138" s="12" t="s">
        <v>148</v>
      </c>
      <c r="B138" s="12" t="s">
        <v>148</v>
      </c>
      <c r="C138" s="6" t="n">
        <f aca="false">D138/1.25</f>
        <v>180000</v>
      </c>
      <c r="D138" s="13" t="n">
        <v>225000</v>
      </c>
      <c r="E138" s="6" t="n">
        <f aca="false">D138-C138</f>
        <v>45000</v>
      </c>
      <c r="F138" s="6" t="n">
        <f aca="false">D138-E138</f>
        <v>180000</v>
      </c>
      <c r="I138" s="1" t="s">
        <v>149</v>
      </c>
      <c r="J138" s="1" t="n">
        <v>230000</v>
      </c>
    </row>
    <row r="139" customFormat="false" ht="15.75" hidden="false" customHeight="true" outlineLevel="0" collapsed="false">
      <c r="A139" s="12" t="s">
        <v>149</v>
      </c>
      <c r="B139" s="12" t="s">
        <v>149</v>
      </c>
      <c r="C139" s="6" t="n">
        <f aca="false">D139/1.25</f>
        <v>184000</v>
      </c>
      <c r="D139" s="13" t="n">
        <v>230000</v>
      </c>
      <c r="E139" s="6" t="n">
        <f aca="false">D139-C139</f>
        <v>46000</v>
      </c>
      <c r="F139" s="6" t="n">
        <f aca="false">D139-E139</f>
        <v>184000</v>
      </c>
      <c r="I139" s="1" t="s">
        <v>150</v>
      </c>
      <c r="J139" s="1" t="n">
        <v>231250</v>
      </c>
    </row>
    <row r="140" customFormat="false" ht="15.75" hidden="false" customHeight="true" outlineLevel="0" collapsed="false">
      <c r="A140" s="12" t="s">
        <v>150</v>
      </c>
      <c r="B140" s="12" t="s">
        <v>150</v>
      </c>
      <c r="C140" s="6" t="n">
        <f aca="false">D140/1.25</f>
        <v>185000</v>
      </c>
      <c r="D140" s="13" t="n">
        <v>231250</v>
      </c>
      <c r="E140" s="6" t="n">
        <f aca="false">D140-C140</f>
        <v>46250</v>
      </c>
      <c r="F140" s="6" t="n">
        <f aca="false">D140-E140</f>
        <v>185000</v>
      </c>
      <c r="I140" s="1" t="s">
        <v>151</v>
      </c>
      <c r="J140" s="1" t="n">
        <v>231250</v>
      </c>
    </row>
    <row r="141" customFormat="false" ht="15.75" hidden="false" customHeight="true" outlineLevel="0" collapsed="false">
      <c r="A141" s="12" t="s">
        <v>151</v>
      </c>
      <c r="B141" s="12" t="s">
        <v>151</v>
      </c>
      <c r="C141" s="6" t="n">
        <f aca="false">D141/1.25</f>
        <v>185000</v>
      </c>
      <c r="D141" s="13" t="n">
        <v>231250</v>
      </c>
      <c r="E141" s="6" t="n">
        <f aca="false">D141-C141</f>
        <v>46250</v>
      </c>
      <c r="F141" s="6" t="n">
        <f aca="false">D141-E141</f>
        <v>185000</v>
      </c>
      <c r="I141" s="1" t="s">
        <v>152</v>
      </c>
      <c r="J141" s="1" t="n">
        <v>231250</v>
      </c>
    </row>
    <row r="142" customFormat="false" ht="15.75" hidden="false" customHeight="true" outlineLevel="0" collapsed="false">
      <c r="A142" s="12" t="s">
        <v>152</v>
      </c>
      <c r="B142" s="12" t="s">
        <v>152</v>
      </c>
      <c r="C142" s="6" t="n">
        <f aca="false">D142/1.25</f>
        <v>185000</v>
      </c>
      <c r="D142" s="13" t="n">
        <v>231250</v>
      </c>
      <c r="E142" s="6" t="n">
        <f aca="false">D142-C142</f>
        <v>46250</v>
      </c>
      <c r="F142" s="6" t="n">
        <f aca="false">D142-E142</f>
        <v>185000</v>
      </c>
      <c r="I142" s="1" t="s">
        <v>153</v>
      </c>
      <c r="J142" s="1" t="n">
        <v>231250</v>
      </c>
    </row>
    <row r="143" customFormat="false" ht="15.75" hidden="false" customHeight="true" outlineLevel="0" collapsed="false">
      <c r="A143" s="12" t="s">
        <v>153</v>
      </c>
      <c r="B143" s="12" t="s">
        <v>153</v>
      </c>
      <c r="C143" s="6" t="n">
        <f aca="false">D143/1.25</f>
        <v>185000</v>
      </c>
      <c r="D143" s="13" t="n">
        <v>231250</v>
      </c>
      <c r="E143" s="6" t="n">
        <f aca="false">D143-C143</f>
        <v>46250</v>
      </c>
      <c r="F143" s="6" t="n">
        <f aca="false">D143-E143</f>
        <v>185000</v>
      </c>
      <c r="I143" s="1" t="s">
        <v>154</v>
      </c>
      <c r="J143" s="1" t="n">
        <v>231250</v>
      </c>
    </row>
    <row r="144" customFormat="false" ht="15.75" hidden="false" customHeight="true" outlineLevel="0" collapsed="false">
      <c r="A144" s="12" t="s">
        <v>154</v>
      </c>
      <c r="B144" s="12" t="s">
        <v>154</v>
      </c>
      <c r="C144" s="6" t="n">
        <f aca="false">D144/1.25</f>
        <v>185000</v>
      </c>
      <c r="D144" s="13" t="n">
        <v>231250</v>
      </c>
      <c r="E144" s="6" t="n">
        <f aca="false">D144-C144</f>
        <v>46250</v>
      </c>
      <c r="F144" s="6" t="n">
        <f aca="false">D144-E144</f>
        <v>185000</v>
      </c>
      <c r="I144" s="1" t="s">
        <v>155</v>
      </c>
      <c r="J144" s="1" t="n">
        <v>231250</v>
      </c>
    </row>
    <row r="145" customFormat="false" ht="15.75" hidden="false" customHeight="true" outlineLevel="0" collapsed="false">
      <c r="A145" s="12" t="s">
        <v>155</v>
      </c>
      <c r="B145" s="12" t="s">
        <v>155</v>
      </c>
      <c r="C145" s="6" t="n">
        <f aca="false">D145/1.25</f>
        <v>185000</v>
      </c>
      <c r="D145" s="13" t="n">
        <v>231250</v>
      </c>
      <c r="E145" s="6" t="n">
        <f aca="false">D145-C145</f>
        <v>46250</v>
      </c>
      <c r="F145" s="6" t="n">
        <f aca="false">D145-E145</f>
        <v>185000</v>
      </c>
      <c r="I145" s="1" t="s">
        <v>156</v>
      </c>
      <c r="J145" s="1" t="n">
        <v>232000</v>
      </c>
    </row>
    <row r="146" customFormat="false" ht="15.75" hidden="false" customHeight="true" outlineLevel="0" collapsed="false">
      <c r="A146" s="12" t="s">
        <v>156</v>
      </c>
      <c r="B146" s="12" t="s">
        <v>156</v>
      </c>
      <c r="C146" s="6" t="n">
        <f aca="false">D146/1.25</f>
        <v>185600</v>
      </c>
      <c r="D146" s="13" t="n">
        <v>232000</v>
      </c>
      <c r="E146" s="6" t="n">
        <f aca="false">D146-C146</f>
        <v>46400</v>
      </c>
      <c r="F146" s="6" t="n">
        <f aca="false">D146-E146</f>
        <v>185600</v>
      </c>
      <c r="I146" s="1" t="s">
        <v>157</v>
      </c>
      <c r="J146" s="1" t="n">
        <v>235000</v>
      </c>
    </row>
    <row r="147" customFormat="false" ht="15.75" hidden="false" customHeight="true" outlineLevel="0" collapsed="false">
      <c r="A147" s="12" t="s">
        <v>157</v>
      </c>
      <c r="B147" s="12" t="s">
        <v>157</v>
      </c>
      <c r="C147" s="6" t="n">
        <f aca="false">D147/1.25</f>
        <v>188000</v>
      </c>
      <c r="D147" s="13" t="n">
        <v>235000</v>
      </c>
      <c r="E147" s="6" t="n">
        <f aca="false">D147-C147</f>
        <v>47000</v>
      </c>
      <c r="F147" s="6" t="n">
        <f aca="false">D147-E147</f>
        <v>188000</v>
      </c>
      <c r="I147" s="1" t="s">
        <v>158</v>
      </c>
      <c r="J147" s="1" t="n">
        <v>235000</v>
      </c>
    </row>
    <row r="148" customFormat="false" ht="15.75" hidden="false" customHeight="true" outlineLevel="0" collapsed="false">
      <c r="A148" s="12" t="s">
        <v>158</v>
      </c>
      <c r="B148" s="12" t="s">
        <v>158</v>
      </c>
      <c r="C148" s="6" t="n">
        <f aca="false">D148/1.25</f>
        <v>188000</v>
      </c>
      <c r="D148" s="13" t="n">
        <v>235000</v>
      </c>
      <c r="E148" s="6" t="n">
        <f aca="false">D148-C148</f>
        <v>47000</v>
      </c>
      <c r="F148" s="6" t="n">
        <f aca="false">D148-E148</f>
        <v>188000</v>
      </c>
      <c r="I148" s="1" t="s">
        <v>159</v>
      </c>
      <c r="J148" s="1" t="n">
        <v>235000</v>
      </c>
    </row>
    <row r="149" customFormat="false" ht="15.75" hidden="false" customHeight="true" outlineLevel="0" collapsed="false">
      <c r="A149" s="12" t="s">
        <v>159</v>
      </c>
      <c r="B149" s="12" t="s">
        <v>159</v>
      </c>
      <c r="C149" s="6" t="n">
        <f aca="false">D149/1.25</f>
        <v>188000</v>
      </c>
      <c r="D149" s="13" t="n">
        <v>235000</v>
      </c>
      <c r="E149" s="6" t="n">
        <f aca="false">D149-C149</f>
        <v>47000</v>
      </c>
      <c r="F149" s="6" t="n">
        <f aca="false">D149-E149</f>
        <v>188000</v>
      </c>
      <c r="I149" s="1" t="s">
        <v>160</v>
      </c>
      <c r="J149" s="1" t="n">
        <v>235000</v>
      </c>
    </row>
    <row r="150" customFormat="false" ht="15.75" hidden="false" customHeight="true" outlineLevel="0" collapsed="false">
      <c r="A150" s="12" t="s">
        <v>160</v>
      </c>
      <c r="B150" s="12" t="s">
        <v>160</v>
      </c>
      <c r="C150" s="6" t="n">
        <f aca="false">D150/1.25</f>
        <v>188000</v>
      </c>
      <c r="D150" s="13" t="n">
        <v>235000</v>
      </c>
      <c r="E150" s="6" t="n">
        <f aca="false">D150-C150</f>
        <v>47000</v>
      </c>
      <c r="F150" s="6" t="n">
        <f aca="false">D150-E150</f>
        <v>188000</v>
      </c>
      <c r="I150" s="1" t="s">
        <v>161</v>
      </c>
      <c r="J150" s="1" t="n">
        <v>237500</v>
      </c>
    </row>
    <row r="151" customFormat="false" ht="15.75" hidden="false" customHeight="true" outlineLevel="0" collapsed="false">
      <c r="A151" s="12" t="s">
        <v>161</v>
      </c>
      <c r="B151" s="12" t="s">
        <v>161</v>
      </c>
      <c r="C151" s="6" t="n">
        <f aca="false">D151/1.25</f>
        <v>190000</v>
      </c>
      <c r="D151" s="13" t="n">
        <v>237500</v>
      </c>
      <c r="E151" s="6" t="n">
        <f aca="false">D151-C151</f>
        <v>47500</v>
      </c>
      <c r="F151" s="6" t="n">
        <f aca="false">D151-E151</f>
        <v>190000</v>
      </c>
      <c r="I151" s="1" t="s">
        <v>162</v>
      </c>
      <c r="J151" s="1" t="n">
        <v>237500</v>
      </c>
    </row>
    <row r="152" customFormat="false" ht="15.75" hidden="false" customHeight="true" outlineLevel="0" collapsed="false">
      <c r="A152" s="12" t="s">
        <v>162</v>
      </c>
      <c r="B152" s="12" t="s">
        <v>162</v>
      </c>
      <c r="C152" s="6" t="n">
        <f aca="false">D152/1.25</f>
        <v>190000</v>
      </c>
      <c r="D152" s="13" t="n">
        <v>237500</v>
      </c>
      <c r="E152" s="6" t="n">
        <f aca="false">D152-C152</f>
        <v>47500</v>
      </c>
      <c r="F152" s="6" t="n">
        <f aca="false">D152-E152</f>
        <v>190000</v>
      </c>
      <c r="I152" s="1" t="s">
        <v>163</v>
      </c>
      <c r="J152" s="1" t="n">
        <v>243750</v>
      </c>
    </row>
    <row r="153" customFormat="false" ht="15.75" hidden="false" customHeight="true" outlineLevel="0" collapsed="false">
      <c r="A153" s="12" t="s">
        <v>163</v>
      </c>
      <c r="B153" s="12" t="s">
        <v>163</v>
      </c>
      <c r="C153" s="6" t="n">
        <f aca="false">D153/1.25</f>
        <v>195000</v>
      </c>
      <c r="D153" s="13" t="n">
        <v>243750</v>
      </c>
      <c r="E153" s="6" t="n">
        <f aca="false">D153-C153</f>
        <v>48750</v>
      </c>
      <c r="F153" s="6" t="n">
        <f aca="false">D153-E153</f>
        <v>195000</v>
      </c>
      <c r="I153" s="1" t="s">
        <v>164</v>
      </c>
      <c r="J153" s="1" t="n">
        <v>243750</v>
      </c>
    </row>
    <row r="154" customFormat="false" ht="15.75" hidden="false" customHeight="true" outlineLevel="0" collapsed="false">
      <c r="A154" s="12" t="s">
        <v>164</v>
      </c>
      <c r="B154" s="12" t="s">
        <v>164</v>
      </c>
      <c r="C154" s="6" t="n">
        <f aca="false">D154/1.25</f>
        <v>195000</v>
      </c>
      <c r="D154" s="13" t="n">
        <v>243750</v>
      </c>
      <c r="E154" s="6" t="n">
        <f aca="false">D154-C154</f>
        <v>48750</v>
      </c>
      <c r="F154" s="6" t="n">
        <f aca="false">D154-E154</f>
        <v>195000</v>
      </c>
      <c r="I154" s="1" t="s">
        <v>165</v>
      </c>
      <c r="J154" s="1" t="n">
        <v>243750</v>
      </c>
    </row>
    <row r="155" customFormat="false" ht="15.75" hidden="false" customHeight="true" outlineLevel="0" collapsed="false">
      <c r="A155" s="12" t="s">
        <v>165</v>
      </c>
      <c r="B155" s="12" t="s">
        <v>165</v>
      </c>
      <c r="C155" s="6" t="n">
        <f aca="false">D155/1.25</f>
        <v>195000</v>
      </c>
      <c r="D155" s="13" t="n">
        <v>243750</v>
      </c>
      <c r="E155" s="6" t="n">
        <f aca="false">D155-C155</f>
        <v>48750</v>
      </c>
      <c r="F155" s="6" t="n">
        <f aca="false">D155-E155</f>
        <v>195000</v>
      </c>
      <c r="I155" s="1" t="s">
        <v>166</v>
      </c>
      <c r="J155" s="1" t="n">
        <v>244000</v>
      </c>
    </row>
    <row r="156" customFormat="false" ht="15.75" hidden="false" customHeight="true" outlineLevel="0" collapsed="false">
      <c r="A156" s="12" t="s">
        <v>166</v>
      </c>
      <c r="B156" s="12" t="s">
        <v>166</v>
      </c>
      <c r="C156" s="6" t="n">
        <f aca="false">D156/1.25</f>
        <v>195200</v>
      </c>
      <c r="D156" s="13" t="n">
        <v>244000</v>
      </c>
      <c r="E156" s="6" t="n">
        <f aca="false">D156-C156</f>
        <v>48800</v>
      </c>
      <c r="F156" s="6" t="n">
        <f aca="false">D156-E156</f>
        <v>195200</v>
      </c>
      <c r="I156" s="1" t="s">
        <v>167</v>
      </c>
      <c r="J156" s="1" t="n">
        <v>247500</v>
      </c>
    </row>
    <row r="157" customFormat="false" ht="15.75" hidden="false" customHeight="true" outlineLevel="0" collapsed="false">
      <c r="A157" s="12" t="s">
        <v>167</v>
      </c>
      <c r="B157" s="12" t="s">
        <v>167</v>
      </c>
      <c r="C157" s="6" t="n">
        <f aca="false">D157/1.25</f>
        <v>198000</v>
      </c>
      <c r="D157" s="13" t="n">
        <v>247500</v>
      </c>
      <c r="E157" s="6" t="n">
        <f aca="false">D157-C157</f>
        <v>49500</v>
      </c>
      <c r="F157" s="6" t="n">
        <f aca="false">D157-E157</f>
        <v>198000</v>
      </c>
      <c r="I157" s="1" t="s">
        <v>168</v>
      </c>
      <c r="J157" s="1" t="n">
        <v>247500</v>
      </c>
    </row>
    <row r="158" customFormat="false" ht="15.75" hidden="false" customHeight="true" outlineLevel="0" collapsed="false">
      <c r="A158" s="12" t="s">
        <v>168</v>
      </c>
      <c r="B158" s="12" t="s">
        <v>168</v>
      </c>
      <c r="C158" s="6" t="n">
        <f aca="false">D158/1.25</f>
        <v>198000</v>
      </c>
      <c r="D158" s="13" t="n">
        <v>247500</v>
      </c>
      <c r="E158" s="6" t="n">
        <f aca="false">D158-C158</f>
        <v>49500</v>
      </c>
      <c r="F158" s="6" t="n">
        <f aca="false">D158-E158</f>
        <v>198000</v>
      </c>
      <c r="I158" s="1" t="s">
        <v>169</v>
      </c>
      <c r="J158" s="1" t="n">
        <v>256250</v>
      </c>
    </row>
    <row r="159" customFormat="false" ht="15.75" hidden="false" customHeight="true" outlineLevel="0" collapsed="false">
      <c r="A159" s="12" t="s">
        <v>169</v>
      </c>
      <c r="B159" s="12" t="s">
        <v>169</v>
      </c>
      <c r="C159" s="6" t="n">
        <f aca="false">D159/1.25</f>
        <v>205000</v>
      </c>
      <c r="D159" s="13" t="n">
        <v>256250</v>
      </c>
      <c r="E159" s="6" t="n">
        <f aca="false">D159-C159</f>
        <v>51250</v>
      </c>
      <c r="F159" s="6" t="n">
        <f aca="false">D159-E159</f>
        <v>205000</v>
      </c>
      <c r="I159" s="1" t="s">
        <v>170</v>
      </c>
      <c r="J159" s="1" t="n">
        <v>257000</v>
      </c>
    </row>
    <row r="160" customFormat="false" ht="15.75" hidden="false" customHeight="true" outlineLevel="0" collapsed="false">
      <c r="A160" s="12" t="s">
        <v>170</v>
      </c>
      <c r="B160" s="12" t="s">
        <v>170</v>
      </c>
      <c r="C160" s="6" t="n">
        <f aca="false">D160/1.25</f>
        <v>205600</v>
      </c>
      <c r="D160" s="13" t="n">
        <v>257000</v>
      </c>
      <c r="E160" s="6" t="n">
        <f aca="false">D160-C160</f>
        <v>51400</v>
      </c>
      <c r="F160" s="6" t="n">
        <f aca="false">D160-E160</f>
        <v>205600</v>
      </c>
      <c r="I160" s="1" t="s">
        <v>171</v>
      </c>
      <c r="J160" s="1" t="n">
        <v>262500</v>
      </c>
    </row>
    <row r="161" customFormat="false" ht="15.75" hidden="false" customHeight="true" outlineLevel="0" collapsed="false">
      <c r="A161" s="12" t="s">
        <v>171</v>
      </c>
      <c r="B161" s="12" t="s">
        <v>171</v>
      </c>
      <c r="C161" s="6" t="n">
        <f aca="false">D161/1.25</f>
        <v>210000</v>
      </c>
      <c r="D161" s="13" t="n">
        <v>262500</v>
      </c>
      <c r="E161" s="6" t="n">
        <f aca="false">D161-C161</f>
        <v>52500</v>
      </c>
      <c r="F161" s="6" t="n">
        <f aca="false">D161-E161</f>
        <v>210000</v>
      </c>
      <c r="I161" s="1" t="s">
        <v>172</v>
      </c>
      <c r="J161" s="1" t="n">
        <v>262500</v>
      </c>
    </row>
    <row r="162" customFormat="false" ht="15.75" hidden="false" customHeight="true" outlineLevel="0" collapsed="false">
      <c r="A162" s="12" t="s">
        <v>172</v>
      </c>
      <c r="B162" s="12" t="s">
        <v>172</v>
      </c>
      <c r="C162" s="6" t="n">
        <f aca="false">D162/1.25</f>
        <v>210000</v>
      </c>
      <c r="D162" s="13" t="n">
        <v>262500</v>
      </c>
      <c r="E162" s="6" t="n">
        <f aca="false">D162-C162</f>
        <v>52500</v>
      </c>
      <c r="F162" s="6" t="n">
        <f aca="false">D162-E162</f>
        <v>210000</v>
      </c>
      <c r="I162" s="1" t="s">
        <v>173</v>
      </c>
      <c r="J162" s="1" t="n">
        <v>262500</v>
      </c>
    </row>
    <row r="163" customFormat="false" ht="15.75" hidden="false" customHeight="true" outlineLevel="0" collapsed="false">
      <c r="A163" s="12" t="s">
        <v>173</v>
      </c>
      <c r="B163" s="12" t="s">
        <v>173</v>
      </c>
      <c r="C163" s="6" t="n">
        <f aca="false">D163/1.25</f>
        <v>210000</v>
      </c>
      <c r="D163" s="13" t="n">
        <v>262500</v>
      </c>
      <c r="E163" s="6" t="n">
        <f aca="false">D163-C163</f>
        <v>52500</v>
      </c>
      <c r="F163" s="6" t="n">
        <f aca="false">D163-E163</f>
        <v>210000</v>
      </c>
      <c r="I163" s="1" t="s">
        <v>174</v>
      </c>
      <c r="J163" s="1" t="n">
        <v>262500</v>
      </c>
    </row>
    <row r="164" customFormat="false" ht="15.75" hidden="false" customHeight="true" outlineLevel="0" collapsed="false">
      <c r="A164" s="12" t="s">
        <v>174</v>
      </c>
      <c r="B164" s="12" t="s">
        <v>174</v>
      </c>
      <c r="C164" s="6" t="n">
        <f aca="false">D164/1.25</f>
        <v>210000</v>
      </c>
      <c r="D164" s="13" t="n">
        <v>262500</v>
      </c>
      <c r="E164" s="6" t="n">
        <f aca="false">D164-C164</f>
        <v>52500</v>
      </c>
      <c r="F164" s="6" t="n">
        <f aca="false">D164-E164</f>
        <v>210000</v>
      </c>
      <c r="I164" s="1" t="s">
        <v>175</v>
      </c>
      <c r="J164" s="1" t="n">
        <v>275000</v>
      </c>
    </row>
    <row r="165" customFormat="false" ht="15.75" hidden="false" customHeight="true" outlineLevel="0" collapsed="false">
      <c r="A165" s="12" t="s">
        <v>175</v>
      </c>
      <c r="B165" s="12" t="s">
        <v>175</v>
      </c>
      <c r="C165" s="6" t="n">
        <f aca="false">D165/1.25</f>
        <v>220000</v>
      </c>
      <c r="D165" s="13" t="n">
        <v>275000</v>
      </c>
      <c r="E165" s="6" t="n">
        <f aca="false">D165-C165</f>
        <v>55000</v>
      </c>
      <c r="F165" s="6" t="n">
        <f aca="false">D165-E165</f>
        <v>220000</v>
      </c>
      <c r="I165" s="1" t="s">
        <v>176</v>
      </c>
      <c r="J165" s="1" t="n">
        <v>275000</v>
      </c>
    </row>
    <row r="166" customFormat="false" ht="15.75" hidden="false" customHeight="true" outlineLevel="0" collapsed="false">
      <c r="A166" s="12" t="s">
        <v>176</v>
      </c>
      <c r="B166" s="12" t="s">
        <v>176</v>
      </c>
      <c r="C166" s="6" t="n">
        <f aca="false">D166/1.25</f>
        <v>220000</v>
      </c>
      <c r="D166" s="13" t="n">
        <v>275000</v>
      </c>
      <c r="E166" s="6" t="n">
        <f aca="false">D166-C166</f>
        <v>55000</v>
      </c>
      <c r="F166" s="6" t="n">
        <f aca="false">D166-E166</f>
        <v>220000</v>
      </c>
      <c r="I166" s="1" t="s">
        <v>177</v>
      </c>
      <c r="J166" s="1" t="n">
        <v>275000</v>
      </c>
    </row>
    <row r="167" customFormat="false" ht="15.75" hidden="false" customHeight="true" outlineLevel="0" collapsed="false">
      <c r="A167" s="12" t="s">
        <v>177</v>
      </c>
      <c r="B167" s="12" t="s">
        <v>177</v>
      </c>
      <c r="C167" s="6" t="n">
        <f aca="false">D167/1.25</f>
        <v>220000</v>
      </c>
      <c r="D167" s="13" t="n">
        <v>275000</v>
      </c>
      <c r="E167" s="6" t="n">
        <f aca="false">D167-C167</f>
        <v>55000</v>
      </c>
      <c r="F167" s="6" t="n">
        <f aca="false">D167-E167</f>
        <v>220000</v>
      </c>
      <c r="I167" s="1" t="s">
        <v>178</v>
      </c>
      <c r="J167" s="1" t="n">
        <v>275000</v>
      </c>
    </row>
    <row r="168" customFormat="false" ht="15.75" hidden="false" customHeight="true" outlineLevel="0" collapsed="false">
      <c r="A168" s="12" t="s">
        <v>178</v>
      </c>
      <c r="B168" s="12" t="s">
        <v>178</v>
      </c>
      <c r="C168" s="6" t="n">
        <f aca="false">D168/1.25</f>
        <v>220000</v>
      </c>
      <c r="D168" s="13" t="n">
        <v>275000</v>
      </c>
      <c r="E168" s="6" t="n">
        <f aca="false">D168-C168</f>
        <v>55000</v>
      </c>
      <c r="F168" s="6" t="n">
        <f aca="false">D168-E168</f>
        <v>220000</v>
      </c>
      <c r="I168" s="1" t="s">
        <v>179</v>
      </c>
      <c r="J168" s="1" t="n">
        <v>287500</v>
      </c>
    </row>
    <row r="169" customFormat="false" ht="15.75" hidden="false" customHeight="true" outlineLevel="0" collapsed="false">
      <c r="A169" s="12" t="s">
        <v>179</v>
      </c>
      <c r="B169" s="12" t="s">
        <v>179</v>
      </c>
      <c r="C169" s="6" t="n">
        <f aca="false">D169/1.25</f>
        <v>230000</v>
      </c>
      <c r="D169" s="13" t="n">
        <v>287500</v>
      </c>
      <c r="E169" s="6" t="n">
        <f aca="false">D169-C169</f>
        <v>57500</v>
      </c>
      <c r="F169" s="6" t="n">
        <f aca="false">D169-E169</f>
        <v>230000</v>
      </c>
      <c r="I169" s="1" t="s">
        <v>180</v>
      </c>
      <c r="J169" s="1" t="n">
        <v>288000</v>
      </c>
    </row>
    <row r="170" customFormat="false" ht="15.75" hidden="false" customHeight="true" outlineLevel="0" collapsed="false">
      <c r="A170" s="12" t="s">
        <v>180</v>
      </c>
      <c r="B170" s="12" t="s">
        <v>180</v>
      </c>
      <c r="C170" s="6" t="n">
        <f aca="false">D170/1.25</f>
        <v>230400</v>
      </c>
      <c r="D170" s="13" t="n">
        <v>288000</v>
      </c>
      <c r="E170" s="6" t="n">
        <f aca="false">D170-C170</f>
        <v>57600</v>
      </c>
      <c r="F170" s="6" t="n">
        <f aca="false">D170-E170</f>
        <v>230400</v>
      </c>
      <c r="I170" s="1" t="s">
        <v>181</v>
      </c>
      <c r="J170" s="1" t="n">
        <v>297500</v>
      </c>
    </row>
    <row r="171" customFormat="false" ht="15.75" hidden="false" customHeight="true" outlineLevel="0" collapsed="false">
      <c r="A171" s="12" t="s">
        <v>181</v>
      </c>
      <c r="B171" s="12" t="s">
        <v>181</v>
      </c>
      <c r="C171" s="6" t="n">
        <f aca="false">D171/1.25</f>
        <v>238000</v>
      </c>
      <c r="D171" s="13" t="n">
        <v>297500</v>
      </c>
      <c r="E171" s="6" t="n">
        <f aca="false">D171-C171</f>
        <v>59500</v>
      </c>
      <c r="F171" s="6" t="n">
        <f aca="false">D171-E171</f>
        <v>238000</v>
      </c>
      <c r="I171" s="1" t="s">
        <v>182</v>
      </c>
      <c r="J171" s="1" t="n">
        <v>300000</v>
      </c>
    </row>
    <row r="172" customFormat="false" ht="15.75" hidden="false" customHeight="true" outlineLevel="0" collapsed="false">
      <c r="A172" s="12" t="s">
        <v>182</v>
      </c>
      <c r="B172" s="12" t="s">
        <v>182</v>
      </c>
      <c r="C172" s="6" t="n">
        <f aca="false">D172/1.25</f>
        <v>240000</v>
      </c>
      <c r="D172" s="13" t="n">
        <v>300000</v>
      </c>
      <c r="E172" s="6" t="n">
        <f aca="false">D172-C172</f>
        <v>60000</v>
      </c>
      <c r="F172" s="6" t="n">
        <f aca="false">D172-E172</f>
        <v>240000</v>
      </c>
      <c r="I172" s="1" t="s">
        <v>183</v>
      </c>
      <c r="J172" s="1" t="n">
        <v>300000</v>
      </c>
    </row>
    <row r="173" customFormat="false" ht="15.75" hidden="false" customHeight="true" outlineLevel="0" collapsed="false">
      <c r="A173" s="12" t="s">
        <v>183</v>
      </c>
      <c r="B173" s="12" t="s">
        <v>183</v>
      </c>
      <c r="C173" s="6" t="n">
        <f aca="false">D173/1.25</f>
        <v>240000</v>
      </c>
      <c r="D173" s="13" t="n">
        <v>300000</v>
      </c>
      <c r="E173" s="6" t="n">
        <f aca="false">D173-C173</f>
        <v>60000</v>
      </c>
      <c r="F173" s="6" t="n">
        <f aca="false">D173-E173</f>
        <v>240000</v>
      </c>
      <c r="I173" s="1" t="s">
        <v>184</v>
      </c>
      <c r="J173" s="1" t="n">
        <v>300000</v>
      </c>
    </row>
    <row r="174" customFormat="false" ht="15.75" hidden="false" customHeight="true" outlineLevel="0" collapsed="false">
      <c r="A174" s="12" t="s">
        <v>184</v>
      </c>
      <c r="B174" s="12" t="s">
        <v>184</v>
      </c>
      <c r="C174" s="6" t="n">
        <f aca="false">D174/1.25</f>
        <v>240000</v>
      </c>
      <c r="D174" s="13" t="n">
        <v>300000</v>
      </c>
      <c r="E174" s="6" t="n">
        <f aca="false">D174-C174</f>
        <v>60000</v>
      </c>
      <c r="F174" s="6" t="n">
        <f aca="false">D174-E174</f>
        <v>240000</v>
      </c>
      <c r="I174" s="1" t="s">
        <v>185</v>
      </c>
      <c r="J174" s="1" t="n">
        <v>312500</v>
      </c>
    </row>
    <row r="175" customFormat="false" ht="15.75" hidden="false" customHeight="true" outlineLevel="0" collapsed="false">
      <c r="A175" s="12" t="s">
        <v>185</v>
      </c>
      <c r="B175" s="12" t="s">
        <v>185</v>
      </c>
      <c r="C175" s="6" t="n">
        <f aca="false">D175/1.25</f>
        <v>250000</v>
      </c>
      <c r="D175" s="13" t="n">
        <v>312500</v>
      </c>
      <c r="E175" s="6" t="n">
        <f aca="false">D175-C175</f>
        <v>62500</v>
      </c>
      <c r="F175" s="6" t="n">
        <f aca="false">D175-E175</f>
        <v>250000</v>
      </c>
      <c r="I175" s="1" t="s">
        <v>186</v>
      </c>
      <c r="J175" s="1" t="n">
        <v>312500</v>
      </c>
    </row>
    <row r="176" customFormat="false" ht="15.75" hidden="false" customHeight="true" outlineLevel="0" collapsed="false">
      <c r="A176" s="12" t="s">
        <v>186</v>
      </c>
      <c r="B176" s="12" t="s">
        <v>186</v>
      </c>
      <c r="C176" s="6" t="n">
        <f aca="false">D176/1.25</f>
        <v>250000</v>
      </c>
      <c r="D176" s="13" t="n">
        <v>312500</v>
      </c>
      <c r="E176" s="6" t="n">
        <f aca="false">D176-C176</f>
        <v>62500</v>
      </c>
      <c r="F176" s="6" t="n">
        <f aca="false">D176-E176</f>
        <v>250000</v>
      </c>
      <c r="I176" s="1" t="s">
        <v>187</v>
      </c>
      <c r="J176" s="1" t="n">
        <v>325000</v>
      </c>
    </row>
    <row r="177" customFormat="false" ht="15.75" hidden="false" customHeight="true" outlineLevel="0" collapsed="false">
      <c r="A177" s="12" t="s">
        <v>187</v>
      </c>
      <c r="B177" s="12" t="s">
        <v>187</v>
      </c>
      <c r="C177" s="6" t="n">
        <f aca="false">D177/1.25</f>
        <v>260000</v>
      </c>
      <c r="D177" s="13" t="n">
        <v>325000</v>
      </c>
      <c r="E177" s="6" t="n">
        <f aca="false">D177-C177</f>
        <v>65000</v>
      </c>
      <c r="F177" s="6" t="n">
        <f aca="false">D177-E177</f>
        <v>260000</v>
      </c>
      <c r="I177" s="1" t="s">
        <v>188</v>
      </c>
      <c r="J177" s="1" t="n">
        <v>337500</v>
      </c>
    </row>
    <row r="178" customFormat="false" ht="15.75" hidden="false" customHeight="true" outlineLevel="0" collapsed="false">
      <c r="A178" s="12" t="s">
        <v>188</v>
      </c>
      <c r="B178" s="12" t="s">
        <v>188</v>
      </c>
      <c r="C178" s="6" t="n">
        <f aca="false">D178/1.25</f>
        <v>270000</v>
      </c>
      <c r="D178" s="13" t="n">
        <v>337500</v>
      </c>
      <c r="E178" s="6" t="n">
        <f aca="false">D178-C178</f>
        <v>67500</v>
      </c>
      <c r="F178" s="6" t="n">
        <f aca="false">D178-E178</f>
        <v>270000</v>
      </c>
      <c r="I178" s="1" t="s">
        <v>189</v>
      </c>
      <c r="J178" s="1" t="n">
        <v>343000</v>
      </c>
    </row>
    <row r="179" customFormat="false" ht="15.75" hidden="false" customHeight="true" outlineLevel="0" collapsed="false">
      <c r="A179" s="12" t="s">
        <v>189</v>
      </c>
      <c r="B179" s="12" t="s">
        <v>189</v>
      </c>
      <c r="C179" s="6" t="n">
        <f aca="false">D179/1.25</f>
        <v>274400</v>
      </c>
      <c r="D179" s="13" t="n">
        <v>343000</v>
      </c>
      <c r="E179" s="6" t="n">
        <f aca="false">D179-C179</f>
        <v>68600</v>
      </c>
      <c r="F179" s="6" t="n">
        <f aca="false">D179-E179</f>
        <v>274400</v>
      </c>
      <c r="I179" s="1" t="s">
        <v>190</v>
      </c>
      <c r="J179" s="1" t="n">
        <v>347500</v>
      </c>
    </row>
    <row r="180" customFormat="false" ht="15.75" hidden="false" customHeight="true" outlineLevel="0" collapsed="false">
      <c r="A180" s="12" t="s">
        <v>190</v>
      </c>
      <c r="B180" s="12" t="s">
        <v>190</v>
      </c>
      <c r="C180" s="6" t="n">
        <f aca="false">D180/1.25</f>
        <v>278000</v>
      </c>
      <c r="D180" s="13" t="n">
        <v>347500</v>
      </c>
      <c r="E180" s="6" t="n">
        <f aca="false">D180-C180</f>
        <v>69500</v>
      </c>
      <c r="F180" s="6" t="n">
        <f aca="false">D180-E180</f>
        <v>278000</v>
      </c>
      <c r="I180" s="1" t="s">
        <v>191</v>
      </c>
      <c r="J180" s="1" t="n">
        <v>362500</v>
      </c>
    </row>
    <row r="181" customFormat="false" ht="15.75" hidden="false" customHeight="true" outlineLevel="0" collapsed="false">
      <c r="A181" s="12" t="s">
        <v>191</v>
      </c>
      <c r="B181" s="12" t="s">
        <v>191</v>
      </c>
      <c r="C181" s="6" t="n">
        <f aca="false">D181/1.25</f>
        <v>290000</v>
      </c>
      <c r="D181" s="13" t="n">
        <v>362500</v>
      </c>
      <c r="E181" s="6" t="n">
        <f aca="false">D181-C181</f>
        <v>72500</v>
      </c>
      <c r="F181" s="6" t="n">
        <f aca="false">D181-E181</f>
        <v>290000</v>
      </c>
      <c r="I181" s="1" t="s">
        <v>192</v>
      </c>
      <c r="J181" s="1" t="n">
        <v>362500</v>
      </c>
    </row>
    <row r="182" customFormat="false" ht="15.75" hidden="false" customHeight="true" outlineLevel="0" collapsed="false">
      <c r="A182" s="12" t="s">
        <v>192</v>
      </c>
      <c r="B182" s="12" t="s">
        <v>192</v>
      </c>
      <c r="C182" s="6" t="n">
        <f aca="false">D182/1.25</f>
        <v>290000</v>
      </c>
      <c r="D182" s="13" t="n">
        <v>362500</v>
      </c>
      <c r="E182" s="6" t="n">
        <f aca="false">D182-C182</f>
        <v>72500</v>
      </c>
      <c r="F182" s="6" t="n">
        <f aca="false">D182-E182</f>
        <v>290000</v>
      </c>
      <c r="I182" s="1" t="s">
        <v>193</v>
      </c>
      <c r="J182" s="1" t="n">
        <v>368750</v>
      </c>
    </row>
    <row r="183" customFormat="false" ht="15.75" hidden="false" customHeight="true" outlineLevel="0" collapsed="false">
      <c r="A183" s="12" t="s">
        <v>193</v>
      </c>
      <c r="B183" s="12" t="s">
        <v>193</v>
      </c>
      <c r="C183" s="6" t="n">
        <f aca="false">D183/1.25</f>
        <v>295000</v>
      </c>
      <c r="D183" s="13" t="n">
        <v>368750</v>
      </c>
      <c r="E183" s="6" t="n">
        <f aca="false">D183-C183</f>
        <v>73750</v>
      </c>
      <c r="F183" s="6" t="n">
        <f aca="false">D183-E183</f>
        <v>295000</v>
      </c>
      <c r="I183" s="1" t="s">
        <v>194</v>
      </c>
      <c r="J183" s="1" t="n">
        <v>387500</v>
      </c>
    </row>
    <row r="184" customFormat="false" ht="15.75" hidden="false" customHeight="true" outlineLevel="0" collapsed="false">
      <c r="A184" s="12" t="s">
        <v>194</v>
      </c>
      <c r="B184" s="12" t="s">
        <v>194</v>
      </c>
      <c r="C184" s="6" t="n">
        <f aca="false">D184/1.25</f>
        <v>310000</v>
      </c>
      <c r="D184" s="13" t="n">
        <v>387500</v>
      </c>
      <c r="E184" s="6" t="n">
        <f aca="false">D184-C184</f>
        <v>77500</v>
      </c>
      <c r="F184" s="6" t="n">
        <f aca="false">D184-E184</f>
        <v>310000</v>
      </c>
      <c r="I184" s="1" t="s">
        <v>195</v>
      </c>
      <c r="J184" s="1" t="n">
        <v>393750</v>
      </c>
    </row>
    <row r="185" customFormat="false" ht="15.75" hidden="false" customHeight="true" outlineLevel="0" collapsed="false">
      <c r="A185" s="12" t="s">
        <v>195</v>
      </c>
      <c r="B185" s="12" t="s">
        <v>195</v>
      </c>
      <c r="C185" s="6" t="n">
        <f aca="false">D185/1.25</f>
        <v>315000</v>
      </c>
      <c r="D185" s="13" t="n">
        <v>393750</v>
      </c>
      <c r="E185" s="6" t="n">
        <f aca="false">D185-C185</f>
        <v>78750</v>
      </c>
      <c r="F185" s="6" t="n">
        <f aca="false">D185-E185</f>
        <v>315000</v>
      </c>
      <c r="I185" s="1" t="s">
        <v>196</v>
      </c>
      <c r="J185" s="1" t="n">
        <v>393750</v>
      </c>
    </row>
    <row r="186" customFormat="false" ht="15.75" hidden="false" customHeight="true" outlineLevel="0" collapsed="false">
      <c r="A186" s="12" t="s">
        <v>196</v>
      </c>
      <c r="B186" s="12" t="s">
        <v>196</v>
      </c>
      <c r="C186" s="6" t="n">
        <f aca="false">D186/1.25</f>
        <v>315000</v>
      </c>
      <c r="D186" s="13" t="n">
        <v>393750</v>
      </c>
      <c r="E186" s="6" t="n">
        <f aca="false">D186-C186</f>
        <v>78750</v>
      </c>
      <c r="F186" s="6" t="n">
        <f aca="false">D186-E186</f>
        <v>315000</v>
      </c>
      <c r="I186" s="1" t="s">
        <v>197</v>
      </c>
      <c r="J186" s="1" t="n">
        <v>400000</v>
      </c>
    </row>
    <row r="187" customFormat="false" ht="15.75" hidden="false" customHeight="true" outlineLevel="0" collapsed="false">
      <c r="A187" s="12" t="s">
        <v>197</v>
      </c>
      <c r="B187" s="12" t="s">
        <v>197</v>
      </c>
      <c r="C187" s="6" t="n">
        <f aca="false">D187/1.25</f>
        <v>320000</v>
      </c>
      <c r="D187" s="13" t="n">
        <v>400000</v>
      </c>
      <c r="E187" s="6" t="n">
        <f aca="false">D187-C187</f>
        <v>80000</v>
      </c>
      <c r="F187" s="6" t="n">
        <f aca="false">D187-E187</f>
        <v>320000</v>
      </c>
      <c r="I187" s="1" t="s">
        <v>198</v>
      </c>
      <c r="J187" s="1" t="n">
        <v>437500</v>
      </c>
    </row>
    <row r="188" customFormat="false" ht="15.75" hidden="false" customHeight="true" outlineLevel="0" collapsed="false">
      <c r="A188" s="12" t="s">
        <v>198</v>
      </c>
      <c r="B188" s="12" t="s">
        <v>198</v>
      </c>
      <c r="C188" s="6" t="n">
        <f aca="false">D188/1.25</f>
        <v>350000</v>
      </c>
      <c r="D188" s="13" t="n">
        <v>437500</v>
      </c>
      <c r="E188" s="6" t="n">
        <f aca="false">D188-C188</f>
        <v>87500</v>
      </c>
      <c r="F188" s="6" t="n">
        <f aca="false">D188-E188</f>
        <v>350000</v>
      </c>
      <c r="I188" s="1" t="s">
        <v>199</v>
      </c>
      <c r="J188" s="1" t="n">
        <v>462500</v>
      </c>
    </row>
    <row r="189" customFormat="false" ht="15.75" hidden="false" customHeight="true" outlineLevel="0" collapsed="false">
      <c r="A189" s="12" t="s">
        <v>199</v>
      </c>
      <c r="B189" s="12" t="s">
        <v>199</v>
      </c>
      <c r="C189" s="6" t="n">
        <f aca="false">D189/1.25</f>
        <v>370000</v>
      </c>
      <c r="D189" s="13" t="n">
        <v>462500</v>
      </c>
      <c r="E189" s="6" t="n">
        <f aca="false">D189-C189</f>
        <v>92500</v>
      </c>
      <c r="F189" s="6" t="n">
        <f aca="false">D189-E189</f>
        <v>370000</v>
      </c>
      <c r="I189" s="1" t="s">
        <v>200</v>
      </c>
      <c r="J189" s="1" t="n">
        <v>475000</v>
      </c>
    </row>
    <row r="190" customFormat="false" ht="15.75" hidden="false" customHeight="true" outlineLevel="0" collapsed="false">
      <c r="A190" s="12" t="s">
        <v>200</v>
      </c>
      <c r="B190" s="12" t="s">
        <v>200</v>
      </c>
      <c r="C190" s="6" t="n">
        <f aca="false">D190/1.25</f>
        <v>380000</v>
      </c>
      <c r="D190" s="13" t="n">
        <v>475000</v>
      </c>
      <c r="E190" s="6" t="n">
        <f aca="false">D190-C190</f>
        <v>95000</v>
      </c>
      <c r="F190" s="6" t="n">
        <f aca="false">D190-E190</f>
        <v>380000</v>
      </c>
      <c r="I190" s="1" t="s">
        <v>201</v>
      </c>
      <c r="J190" s="1" t="n">
        <v>475000</v>
      </c>
    </row>
    <row r="191" customFormat="false" ht="15.75" hidden="false" customHeight="true" outlineLevel="0" collapsed="false">
      <c r="A191" s="12" t="s">
        <v>201</v>
      </c>
      <c r="B191" s="12" t="s">
        <v>201</v>
      </c>
      <c r="C191" s="6" t="n">
        <f aca="false">D191/1.25</f>
        <v>380000</v>
      </c>
      <c r="D191" s="13" t="n">
        <v>475000</v>
      </c>
      <c r="E191" s="6" t="n">
        <f aca="false">D191-C191</f>
        <v>95000</v>
      </c>
      <c r="F191" s="6" t="n">
        <f aca="false">D191-E191</f>
        <v>380000</v>
      </c>
      <c r="I191" s="1" t="s">
        <v>202</v>
      </c>
      <c r="J191" s="1" t="n">
        <v>512500</v>
      </c>
    </row>
    <row r="192" customFormat="false" ht="15.75" hidden="false" customHeight="true" outlineLevel="0" collapsed="false">
      <c r="A192" s="12" t="s">
        <v>202</v>
      </c>
      <c r="B192" s="12" t="s">
        <v>202</v>
      </c>
      <c r="C192" s="6" t="n">
        <f aca="false">D192/1.25</f>
        <v>410000</v>
      </c>
      <c r="D192" s="13" t="n">
        <v>512500</v>
      </c>
      <c r="E192" s="6" t="n">
        <f aca="false">D192-C192</f>
        <v>102500</v>
      </c>
      <c r="F192" s="6" t="n">
        <f aca="false">D192-E192</f>
        <v>410000</v>
      </c>
      <c r="I192" s="1" t="s">
        <v>203</v>
      </c>
      <c r="J192" s="1" t="n">
        <v>537500</v>
      </c>
    </row>
    <row r="193" customFormat="false" ht="15.75" hidden="false" customHeight="true" outlineLevel="0" collapsed="false">
      <c r="A193" s="12" t="s">
        <v>203</v>
      </c>
      <c r="B193" s="12" t="s">
        <v>203</v>
      </c>
      <c r="C193" s="6" t="n">
        <f aca="false">D193/1.25</f>
        <v>430000</v>
      </c>
      <c r="D193" s="13" t="n">
        <v>537500</v>
      </c>
      <c r="E193" s="6" t="n">
        <f aca="false">D193-C193</f>
        <v>107500</v>
      </c>
      <c r="F193" s="6" t="n">
        <f aca="false">D193-E193</f>
        <v>430000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2026-03-28T14:35:38Z</dcterms:created>
  <dc:creator>openpyxl</dc:creator>
  <dc:description/>
  <dc:language>en-US</dc:language>
  <cp:lastModifiedBy/>
  <dcterms:modified xsi:type="dcterms:W3CDTF">2026-03-28T14:36:00Z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